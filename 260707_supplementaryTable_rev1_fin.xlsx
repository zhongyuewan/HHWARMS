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202300"/>
  <mc:AlternateContent xmlns:mc="http://schemas.openxmlformats.org/markup-compatibility/2006">
    <mc:Choice Requires="x15">
      <x15ac:absPath xmlns:x15ac="http://schemas.microsoft.com/office/spreadsheetml/2010/11/ac" url="https://connecthkuhk-my.sharepoint.com/personal/zhongyue_connect_hku_hk/Documents/#2 PhD/#2 research project/#2 corest/#2 3D AR/correst metabarcoding/6_writing/submit/restorationEcology/rev.1/"/>
    </mc:Choice>
  </mc:AlternateContent>
  <xr:revisionPtr revIDLastSave="0" documentId="8_{AC47AD00-F2DF-F441-8293-48FB187A038D}" xr6:coauthVersionLast="47" xr6:coauthVersionMax="47" xr10:uidLastSave="{00000000-0000-0000-0000-000000000000}"/>
  <bookViews>
    <workbookView xWindow="0" yWindow="680" windowWidth="30240" windowHeight="17000" xr2:uid="{CB4EFDBE-1450-6044-A60C-C4137268A96A}"/>
  </bookViews>
  <sheets>
    <sheet name="readme" sheetId="8" r:id="rId1"/>
    <sheet name="Table_S1_coralData" sheetId="14" r:id="rId2"/>
    <sheet name="Table_S2_Macrofauna_by_ARMS" sheetId="4" r:id="rId3"/>
    <sheet name="Table_S3_GLMM_Table" sheetId="9" r:id="rId4"/>
    <sheet name="Table_S4_OTU_Table" sheetId="15" r:id="rId5"/>
    <sheet name="Table_S5_Phylum_by_ARSM" sheetId="5" r:id="rId6"/>
    <sheet name="Table_S6_PhlyRichnessCorals" sheetId="13" r:id="rId7"/>
    <sheet name="Table_S7_multidimensionalAnalys" sheetId="1" r:id="rId8"/>
    <sheet name="Table_S8_LM_Table" sheetId="11" r:id="rId9"/>
    <sheet name="Table_S9_SIMPER" sheetId="3" r:id="rId10"/>
  </sheets>
  <definedNames>
    <definedName name="_xlnm._FilterDatabase" localSheetId="1" hidden="1">Table_S1_coralData!$A$3:$Q$381</definedName>
    <definedName name="_xlnm.Print_Titles" localSheetId="1">Table_S1_coralData!$3:$3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4" i="4" l="1"/>
  <c r="E134" i="4"/>
  <c r="F134" i="4"/>
  <c r="G134" i="4"/>
  <c r="H134" i="4"/>
  <c r="I134" i="4"/>
  <c r="J134" i="4"/>
  <c r="K134" i="4"/>
  <c r="L134" i="4"/>
  <c r="M134" i="4"/>
  <c r="N134" i="4"/>
  <c r="O134" i="4"/>
  <c r="P134" i="4"/>
  <c r="Q134" i="4"/>
  <c r="R134" i="4"/>
  <c r="S134" i="4"/>
  <c r="T134" i="4"/>
  <c r="C134" i="4"/>
  <c r="P148" i="14" l="1"/>
  <c r="Q148" i="14"/>
  <c r="P33" i="14"/>
  <c r="Q33" i="14"/>
  <c r="P120" i="14"/>
  <c r="Q120" i="14"/>
  <c r="P343" i="14"/>
  <c r="Q343" i="14"/>
  <c r="P117" i="14"/>
  <c r="Q117" i="14"/>
  <c r="P281" i="14"/>
  <c r="Q281" i="14"/>
  <c r="P36" i="14"/>
  <c r="Q36" i="14"/>
  <c r="P286" i="14"/>
  <c r="Q286" i="14"/>
  <c r="P291" i="14"/>
  <c r="Q291" i="14"/>
  <c r="P126" i="14"/>
  <c r="Q126" i="14"/>
  <c r="P74" i="14"/>
  <c r="Q74" i="14"/>
  <c r="P99" i="14"/>
  <c r="Q99" i="14"/>
  <c r="P289" i="14"/>
  <c r="Q289" i="14"/>
  <c r="P115" i="14"/>
  <c r="Q115" i="14"/>
  <c r="P308" i="14"/>
  <c r="Q308" i="14"/>
  <c r="P113" i="14"/>
  <c r="Q113" i="14"/>
  <c r="P118" i="14"/>
  <c r="Q118" i="14"/>
  <c r="P111" i="14"/>
  <c r="Q111" i="14"/>
  <c r="P82" i="14"/>
  <c r="Q82" i="14"/>
  <c r="P122" i="14"/>
  <c r="Q122" i="14"/>
  <c r="P298" i="14"/>
  <c r="Q298" i="14"/>
  <c r="P307" i="14"/>
  <c r="Q307" i="14"/>
  <c r="P123" i="14"/>
  <c r="Q123" i="14"/>
  <c r="P135" i="14"/>
  <c r="Q135" i="14"/>
  <c r="P132" i="14"/>
  <c r="Q132" i="14"/>
  <c r="O58" i="15"/>
  <c r="M58" i="15"/>
  <c r="G58" i="15"/>
  <c r="H58" i="15"/>
  <c r="I58" i="15"/>
  <c r="J58" i="15"/>
  <c r="K58" i="15"/>
  <c r="L58" i="15"/>
  <c r="F58" i="15"/>
  <c r="B61" i="15"/>
  <c r="B62" i="15"/>
  <c r="B63" i="15"/>
  <c r="B64" i="15"/>
  <c r="B65" i="15"/>
  <c r="B66" i="15"/>
  <c r="B67" i="15"/>
  <c r="B68" i="15"/>
  <c r="B69" i="15"/>
  <c r="B70" i="15"/>
  <c r="B71" i="15"/>
  <c r="B72" i="15"/>
  <c r="B73" i="15"/>
  <c r="B74" i="15"/>
  <c r="B75" i="15"/>
  <c r="B76" i="15"/>
  <c r="B77" i="15"/>
  <c r="B78"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4" i="15"/>
  <c r="F62" i="15"/>
  <c r="G62" i="15"/>
  <c r="H62" i="15"/>
  <c r="I62" i="15"/>
  <c r="J62" i="15"/>
  <c r="K62" i="15"/>
  <c r="L62" i="15"/>
  <c r="F63" i="15"/>
  <c r="G63" i="15"/>
  <c r="H63" i="15"/>
  <c r="I63" i="15"/>
  <c r="J63" i="15"/>
  <c r="K63" i="15"/>
  <c r="L63" i="15"/>
  <c r="F64" i="15"/>
  <c r="G64" i="15"/>
  <c r="H64" i="15"/>
  <c r="I64" i="15"/>
  <c r="J64" i="15"/>
  <c r="K64" i="15"/>
  <c r="L64" i="15"/>
  <c r="F65" i="15"/>
  <c r="G65" i="15"/>
  <c r="H65" i="15"/>
  <c r="I65" i="15"/>
  <c r="J65" i="15"/>
  <c r="K65" i="15"/>
  <c r="L65" i="15"/>
  <c r="F66" i="15"/>
  <c r="G66" i="15"/>
  <c r="H66" i="15"/>
  <c r="I66" i="15"/>
  <c r="J66" i="15"/>
  <c r="K66" i="15"/>
  <c r="L66" i="15"/>
  <c r="F67" i="15"/>
  <c r="G67" i="15"/>
  <c r="H67" i="15"/>
  <c r="I67" i="15"/>
  <c r="J67" i="15"/>
  <c r="K67" i="15"/>
  <c r="L67" i="15"/>
  <c r="F68" i="15"/>
  <c r="G68" i="15"/>
  <c r="H68" i="15"/>
  <c r="I68" i="15"/>
  <c r="J68" i="15"/>
  <c r="K68" i="15"/>
  <c r="L68" i="15"/>
  <c r="F69" i="15"/>
  <c r="G69" i="15"/>
  <c r="H69" i="15"/>
  <c r="I69" i="15"/>
  <c r="J69" i="15"/>
  <c r="K69" i="15"/>
  <c r="L69" i="15"/>
  <c r="F70" i="15"/>
  <c r="G70" i="15"/>
  <c r="H70" i="15"/>
  <c r="I70" i="15"/>
  <c r="J70" i="15"/>
  <c r="K70" i="15"/>
  <c r="L70" i="15"/>
  <c r="F71" i="15"/>
  <c r="G71" i="15"/>
  <c r="H71" i="15"/>
  <c r="I71" i="15"/>
  <c r="J71" i="15"/>
  <c r="K71" i="15"/>
  <c r="L71" i="15"/>
  <c r="F72" i="15"/>
  <c r="G72" i="15"/>
  <c r="H72" i="15"/>
  <c r="I72" i="15"/>
  <c r="J72" i="15"/>
  <c r="K72" i="15"/>
  <c r="L72" i="15"/>
  <c r="F73" i="15"/>
  <c r="G73" i="15"/>
  <c r="H73" i="15"/>
  <c r="I73" i="15"/>
  <c r="J73" i="15"/>
  <c r="K73" i="15"/>
  <c r="L73" i="15"/>
  <c r="F74" i="15"/>
  <c r="G74" i="15"/>
  <c r="H74" i="15"/>
  <c r="I74" i="15"/>
  <c r="J74" i="15"/>
  <c r="K74" i="15"/>
  <c r="L74" i="15"/>
  <c r="F75" i="15"/>
  <c r="G75" i="15"/>
  <c r="H75" i="15"/>
  <c r="I75" i="15"/>
  <c r="J75" i="15"/>
  <c r="K75" i="15"/>
  <c r="L75" i="15"/>
  <c r="F76" i="15"/>
  <c r="G76" i="15"/>
  <c r="H76" i="15"/>
  <c r="I76" i="15"/>
  <c r="J76" i="15"/>
  <c r="K76" i="15"/>
  <c r="L76" i="15"/>
  <c r="F77" i="15"/>
  <c r="G77" i="15"/>
  <c r="H77" i="15"/>
  <c r="I77" i="15"/>
  <c r="J77" i="15"/>
  <c r="K77" i="15"/>
  <c r="L77" i="15"/>
  <c r="F78" i="15"/>
  <c r="G78" i="15"/>
  <c r="H78" i="15"/>
  <c r="I78" i="15"/>
  <c r="J78" i="15"/>
  <c r="K78" i="15"/>
  <c r="L78" i="15"/>
  <c r="G61" i="15"/>
  <c r="H61" i="15"/>
  <c r="I61" i="15"/>
  <c r="J61" i="15"/>
  <c r="K61" i="15"/>
  <c r="L61" i="15"/>
  <c r="F61" i="15"/>
  <c r="P5" i="14"/>
  <c r="P6" i="14"/>
  <c r="P7" i="14"/>
  <c r="P8" i="14"/>
  <c r="P9" i="14"/>
  <c r="P10" i="14"/>
  <c r="P11" i="14"/>
  <c r="P12" i="14"/>
  <c r="P13" i="14"/>
  <c r="P14" i="14"/>
  <c r="P15" i="14"/>
  <c r="P16" i="14"/>
  <c r="P17" i="14"/>
  <c r="P18" i="14"/>
  <c r="P19" i="14"/>
  <c r="P20" i="14"/>
  <c r="P21" i="14"/>
  <c r="P166" i="14"/>
  <c r="P167" i="14"/>
  <c r="P168" i="14"/>
  <c r="P169" i="14"/>
  <c r="P170" i="14"/>
  <c r="P171" i="14"/>
  <c r="P172" i="14"/>
  <c r="P173" i="14"/>
  <c r="P174" i="14"/>
  <c r="P175" i="14"/>
  <c r="P176" i="14"/>
  <c r="P177" i="14"/>
  <c r="P178" i="14"/>
  <c r="P179" i="14"/>
  <c r="P180" i="14"/>
  <c r="P181" i="14"/>
  <c r="P182" i="14"/>
  <c r="P183" i="14"/>
  <c r="P184" i="14"/>
  <c r="P185" i="14"/>
  <c r="P186" i="14"/>
  <c r="P187" i="14"/>
  <c r="P188" i="14"/>
  <c r="P189" i="14"/>
  <c r="P190" i="14"/>
  <c r="P191" i="14"/>
  <c r="P192" i="14"/>
  <c r="P193" i="14"/>
  <c r="P194" i="14"/>
  <c r="P195" i="14"/>
  <c r="P196" i="14"/>
  <c r="P197" i="14"/>
  <c r="P198" i="14"/>
  <c r="P199" i="14"/>
  <c r="P200" i="14"/>
  <c r="P201" i="14"/>
  <c r="P202" i="14"/>
  <c r="P203" i="14"/>
  <c r="P204" i="14"/>
  <c r="P205" i="14"/>
  <c r="P206" i="14"/>
  <c r="P207" i="14"/>
  <c r="P208" i="14"/>
  <c r="P209" i="14"/>
  <c r="P210" i="14"/>
  <c r="P211" i="14"/>
  <c r="P212" i="14"/>
  <c r="P213" i="14"/>
  <c r="P214" i="14"/>
  <c r="P215" i="14"/>
  <c r="P216" i="14"/>
  <c r="P217" i="14"/>
  <c r="P218" i="14"/>
  <c r="P219" i="14"/>
  <c r="P220" i="14"/>
  <c r="P221" i="14"/>
  <c r="P222" i="14"/>
  <c r="P223" i="14"/>
  <c r="P224" i="14"/>
  <c r="P225" i="14"/>
  <c r="P226" i="14"/>
  <c r="P227" i="14"/>
  <c r="P228" i="14"/>
  <c r="P229" i="14"/>
  <c r="P230" i="14"/>
  <c r="P231" i="14"/>
  <c r="P232" i="14"/>
  <c r="P233" i="14"/>
  <c r="P234" i="14"/>
  <c r="P235" i="14"/>
  <c r="P236" i="14"/>
  <c r="P237" i="14"/>
  <c r="P328" i="14"/>
  <c r="P329" i="14"/>
  <c r="P330" i="14"/>
  <c r="P331" i="14"/>
  <c r="P332" i="14"/>
  <c r="P333" i="14"/>
  <c r="P334" i="14"/>
  <c r="P335" i="14"/>
  <c r="P336" i="14"/>
  <c r="P337" i="14"/>
  <c r="P338" i="14"/>
  <c r="P339" i="14"/>
  <c r="P340" i="14"/>
  <c r="P341" i="14"/>
  <c r="P342" i="14"/>
  <c r="P344" i="14"/>
  <c r="P345" i="14"/>
  <c r="P22" i="14"/>
  <c r="P23" i="14"/>
  <c r="P24" i="14"/>
  <c r="P25" i="14"/>
  <c r="P26" i="14"/>
  <c r="P27" i="14"/>
  <c r="P28" i="14"/>
  <c r="P29" i="14"/>
  <c r="P30" i="14"/>
  <c r="P31" i="14"/>
  <c r="P32" i="14"/>
  <c r="P34" i="14"/>
  <c r="P35" i="14"/>
  <c r="P37" i="14"/>
  <c r="P38" i="14"/>
  <c r="P39" i="14"/>
  <c r="P40" i="14"/>
  <c r="P41" i="14"/>
  <c r="P42" i="14"/>
  <c r="P43" i="14"/>
  <c r="P44" i="14"/>
  <c r="P45" i="14"/>
  <c r="P46" i="14"/>
  <c r="P47" i="14"/>
  <c r="P48" i="14"/>
  <c r="P49" i="14"/>
  <c r="P50" i="14"/>
  <c r="P51" i="14"/>
  <c r="P52" i="14"/>
  <c r="P53" i="14"/>
  <c r="P54" i="14"/>
  <c r="P55" i="14"/>
  <c r="P56" i="14"/>
  <c r="P57" i="14"/>
  <c r="P58" i="14"/>
  <c r="P59" i="14"/>
  <c r="P60" i="14"/>
  <c r="P61" i="14"/>
  <c r="P62" i="14"/>
  <c r="P63" i="14"/>
  <c r="P64" i="14"/>
  <c r="P65" i="14"/>
  <c r="P66" i="14"/>
  <c r="P67" i="14"/>
  <c r="P68" i="14"/>
  <c r="P69" i="14"/>
  <c r="P70" i="14"/>
  <c r="P71" i="14"/>
  <c r="P72" i="14"/>
  <c r="P73" i="14"/>
  <c r="P75" i="14"/>
  <c r="P238" i="14"/>
  <c r="P239" i="14"/>
  <c r="P240" i="14"/>
  <c r="P241" i="14"/>
  <c r="P242" i="14"/>
  <c r="P243" i="14"/>
  <c r="P244" i="14"/>
  <c r="P245" i="14"/>
  <c r="P246" i="14"/>
  <c r="P247" i="14"/>
  <c r="P248" i="14"/>
  <c r="P249" i="14"/>
  <c r="P250" i="14"/>
  <c r="P251" i="14"/>
  <c r="P252" i="14"/>
  <c r="P253" i="14"/>
  <c r="P254" i="14"/>
  <c r="P255" i="14"/>
  <c r="P346" i="14"/>
  <c r="P347" i="14"/>
  <c r="P348" i="14"/>
  <c r="P349" i="14"/>
  <c r="P350" i="14"/>
  <c r="P351" i="14"/>
  <c r="P352" i="14"/>
  <c r="P353" i="14"/>
  <c r="P354" i="14"/>
  <c r="P355" i="14"/>
  <c r="P356" i="14"/>
  <c r="P357" i="14"/>
  <c r="P358" i="14"/>
  <c r="P359" i="14"/>
  <c r="P360" i="14"/>
  <c r="P361" i="14"/>
  <c r="P362" i="14"/>
  <c r="P363" i="14"/>
  <c r="P364" i="14"/>
  <c r="P365" i="14"/>
  <c r="P366" i="14"/>
  <c r="P367" i="14"/>
  <c r="P368" i="14"/>
  <c r="P369" i="14"/>
  <c r="P370" i="14"/>
  <c r="P371" i="14"/>
  <c r="P372" i="14"/>
  <c r="P373" i="14"/>
  <c r="P374" i="14"/>
  <c r="P375" i="14"/>
  <c r="P376" i="14"/>
  <c r="P377" i="14"/>
  <c r="P378" i="14"/>
  <c r="P379" i="14"/>
  <c r="P380" i="14"/>
  <c r="P381" i="14"/>
  <c r="P76" i="14"/>
  <c r="P77" i="14"/>
  <c r="P78" i="14"/>
  <c r="P79" i="14"/>
  <c r="P80" i="14"/>
  <c r="P81" i="14"/>
  <c r="P83" i="14"/>
  <c r="P84" i="14"/>
  <c r="P85" i="14"/>
  <c r="P86" i="14"/>
  <c r="P87" i="14"/>
  <c r="P88" i="14"/>
  <c r="P89" i="14"/>
  <c r="P90" i="14"/>
  <c r="P91" i="14"/>
  <c r="P92" i="14"/>
  <c r="P93" i="14"/>
  <c r="P94" i="14"/>
  <c r="P95" i="14"/>
  <c r="P96" i="14"/>
  <c r="P97" i="14"/>
  <c r="P98" i="14"/>
  <c r="P100" i="14"/>
  <c r="P101" i="14"/>
  <c r="P102" i="14"/>
  <c r="P103" i="14"/>
  <c r="P104" i="14"/>
  <c r="P105" i="14"/>
  <c r="P106" i="14"/>
  <c r="P107" i="14"/>
  <c r="P108" i="14"/>
  <c r="P109" i="14"/>
  <c r="P110" i="14"/>
  <c r="P256" i="14"/>
  <c r="P257" i="14"/>
  <c r="P258" i="14"/>
  <c r="P259" i="14"/>
  <c r="P260" i="14"/>
  <c r="P261" i="14"/>
  <c r="P262" i="14"/>
  <c r="P263" i="14"/>
  <c r="P264" i="14"/>
  <c r="P265" i="14"/>
  <c r="P266" i="14"/>
  <c r="P267" i="14"/>
  <c r="P268" i="14"/>
  <c r="P269" i="14"/>
  <c r="P270" i="14"/>
  <c r="P271" i="14"/>
  <c r="P272" i="14"/>
  <c r="P273" i="14"/>
  <c r="P274" i="14"/>
  <c r="P275" i="14"/>
  <c r="P276" i="14"/>
  <c r="P277" i="14"/>
  <c r="P278" i="14"/>
  <c r="P279" i="14"/>
  <c r="P280" i="14"/>
  <c r="P282" i="14"/>
  <c r="P283" i="14"/>
  <c r="P284" i="14"/>
  <c r="P285" i="14"/>
  <c r="P287" i="14"/>
  <c r="P288" i="14"/>
  <c r="P290" i="14"/>
  <c r="P112" i="14"/>
  <c r="P114" i="14"/>
  <c r="P116" i="14"/>
  <c r="P119" i="14"/>
  <c r="P121" i="14"/>
  <c r="P124" i="14"/>
  <c r="P125" i="14"/>
  <c r="P127" i="14"/>
  <c r="P128" i="14"/>
  <c r="P129" i="14"/>
  <c r="P292" i="14"/>
  <c r="P293" i="14"/>
  <c r="P294" i="14"/>
  <c r="P295" i="14"/>
  <c r="P296" i="14"/>
  <c r="P297" i="14"/>
  <c r="P299" i="14"/>
  <c r="P300" i="14"/>
  <c r="P301" i="14"/>
  <c r="P302" i="14"/>
  <c r="P303" i="14"/>
  <c r="P304" i="14"/>
  <c r="P305" i="14"/>
  <c r="P306" i="14"/>
  <c r="P309" i="14"/>
  <c r="P130" i="14"/>
  <c r="P131" i="14"/>
  <c r="P133" i="14"/>
  <c r="P134" i="14"/>
  <c r="P136" i="14"/>
  <c r="P137" i="14"/>
  <c r="P138" i="14"/>
  <c r="P139" i="14"/>
  <c r="P140" i="14"/>
  <c r="P141" i="14"/>
  <c r="P142" i="14"/>
  <c r="P143" i="14"/>
  <c r="P144" i="14"/>
  <c r="P145" i="14"/>
  <c r="P146" i="14"/>
  <c r="P147" i="14"/>
  <c r="P149" i="14"/>
  <c r="P150" i="14"/>
  <c r="P151" i="14"/>
  <c r="P152" i="14"/>
  <c r="P153" i="14"/>
  <c r="P154" i="14"/>
  <c r="P155" i="14"/>
  <c r="P156" i="14"/>
  <c r="P157" i="14"/>
  <c r="P158" i="14"/>
  <c r="P159" i="14"/>
  <c r="P160" i="14"/>
  <c r="P161" i="14"/>
  <c r="P162" i="14"/>
  <c r="P163" i="14"/>
  <c r="P164" i="14"/>
  <c r="P165" i="14"/>
  <c r="P310" i="14"/>
  <c r="P311" i="14"/>
  <c r="P312" i="14"/>
  <c r="P313" i="14"/>
  <c r="P314" i="14"/>
  <c r="P315" i="14"/>
  <c r="P316" i="14"/>
  <c r="P317" i="14"/>
  <c r="P318" i="14"/>
  <c r="P319" i="14"/>
  <c r="P320" i="14"/>
  <c r="P321" i="14"/>
  <c r="P322" i="14"/>
  <c r="P323" i="14"/>
  <c r="P324" i="14"/>
  <c r="P325" i="14"/>
  <c r="P326" i="14"/>
  <c r="P327" i="14"/>
  <c r="P4" i="14"/>
  <c r="Q4" i="14"/>
  <c r="Q5" i="14"/>
  <c r="Q6" i="14"/>
  <c r="Q7" i="14"/>
  <c r="Q8" i="14"/>
  <c r="Q9" i="14"/>
  <c r="Q10" i="14"/>
  <c r="Q11" i="14"/>
  <c r="Q12" i="14"/>
  <c r="Q13" i="14"/>
  <c r="Q14" i="14"/>
  <c r="Q15" i="14"/>
  <c r="Q16" i="14"/>
  <c r="Q17" i="14"/>
  <c r="Q18" i="14"/>
  <c r="Q19" i="14"/>
  <c r="Q20" i="14"/>
  <c r="Q21" i="14"/>
  <c r="Q166" i="14"/>
  <c r="Q167" i="14"/>
  <c r="Q168" i="14"/>
  <c r="Q169" i="14"/>
  <c r="Q170" i="14"/>
  <c r="Q171" i="14"/>
  <c r="Q172" i="14"/>
  <c r="Q173" i="14"/>
  <c r="Q174" i="14"/>
  <c r="Q175" i="14"/>
  <c r="Q176" i="14"/>
  <c r="Q177" i="14"/>
  <c r="Q178" i="14"/>
  <c r="Q179" i="14"/>
  <c r="Q180" i="14"/>
  <c r="Q181" i="14"/>
  <c r="Q182" i="14"/>
  <c r="Q183" i="14"/>
  <c r="Q184" i="14"/>
  <c r="Q185" i="14"/>
  <c r="Q186" i="14"/>
  <c r="Q187" i="14"/>
  <c r="Q188" i="14"/>
  <c r="Q189" i="14"/>
  <c r="Q190" i="14"/>
  <c r="Q191" i="14"/>
  <c r="Q192" i="14"/>
  <c r="Q193" i="14"/>
  <c r="Q194" i="14"/>
  <c r="Q195" i="14"/>
  <c r="Q196" i="14"/>
  <c r="Q197" i="14"/>
  <c r="Q198" i="14"/>
  <c r="Q199" i="14"/>
  <c r="Q200" i="14"/>
  <c r="Q201" i="14"/>
  <c r="Q202" i="14"/>
  <c r="Q203" i="14"/>
  <c r="Q204" i="14"/>
  <c r="Q205" i="14"/>
  <c r="Q206" i="14"/>
  <c r="Q207" i="14"/>
  <c r="Q208" i="14"/>
  <c r="Q209" i="14"/>
  <c r="Q210" i="14"/>
  <c r="Q211" i="14"/>
  <c r="Q212" i="14"/>
  <c r="Q213" i="14"/>
  <c r="Q214" i="14"/>
  <c r="Q215" i="14"/>
  <c r="Q216" i="14"/>
  <c r="Q217" i="14"/>
  <c r="Q218" i="14"/>
  <c r="Q219" i="14"/>
  <c r="Q220" i="14"/>
  <c r="Q221" i="14"/>
  <c r="Q222" i="14"/>
  <c r="Q223" i="14"/>
  <c r="Q224" i="14"/>
  <c r="Q225" i="14"/>
  <c r="Q226" i="14"/>
  <c r="Q227" i="14"/>
  <c r="Q228" i="14"/>
  <c r="Q229" i="14"/>
  <c r="Q230" i="14"/>
  <c r="Q231" i="14"/>
  <c r="Q232" i="14"/>
  <c r="Q233" i="14"/>
  <c r="Q234" i="14"/>
  <c r="Q235" i="14"/>
  <c r="Q236" i="14"/>
  <c r="Q237" i="14"/>
  <c r="Q328" i="14"/>
  <c r="Q329" i="14"/>
  <c r="Q330" i="14"/>
  <c r="Q331" i="14"/>
  <c r="Q332" i="14"/>
  <c r="Q333" i="14"/>
  <c r="Q334" i="14"/>
  <c r="Q335" i="14"/>
  <c r="Q336" i="14"/>
  <c r="Q337" i="14"/>
  <c r="Q338" i="14"/>
  <c r="Q339" i="14"/>
  <c r="Q340" i="14"/>
  <c r="Q341" i="14"/>
  <c r="Q342" i="14"/>
  <c r="Q344" i="14"/>
  <c r="Q345" i="14"/>
  <c r="Q22" i="14"/>
  <c r="Q23" i="14"/>
  <c r="Q24" i="14"/>
  <c r="Q25" i="14"/>
  <c r="Q26" i="14"/>
  <c r="Q27" i="14"/>
  <c r="Q28" i="14"/>
  <c r="Q29" i="14"/>
  <c r="Q30" i="14"/>
  <c r="Q31" i="14"/>
  <c r="Q32" i="14"/>
  <c r="Q34" i="14"/>
  <c r="Q35" i="14"/>
  <c r="Q37" i="14"/>
  <c r="Q38" i="14"/>
  <c r="Q39" i="14"/>
  <c r="Q40" i="14"/>
  <c r="Q41" i="14"/>
  <c r="Q42" i="14"/>
  <c r="Q43" i="14"/>
  <c r="Q44" i="14"/>
  <c r="Q45" i="14"/>
  <c r="Q46" i="14"/>
  <c r="Q47" i="14"/>
  <c r="Q48" i="14"/>
  <c r="Q49" i="14"/>
  <c r="Q50" i="14"/>
  <c r="Q51" i="14"/>
  <c r="Q52" i="14"/>
  <c r="Q53" i="14"/>
  <c r="Q54" i="14"/>
  <c r="Q55" i="14"/>
  <c r="Q56" i="14"/>
  <c r="Q57" i="14"/>
  <c r="Q58" i="14"/>
  <c r="Q59" i="14"/>
  <c r="Q60" i="14"/>
  <c r="Q61" i="14"/>
  <c r="Q62" i="14"/>
  <c r="Q63" i="14"/>
  <c r="Q64" i="14"/>
  <c r="Q65" i="14"/>
  <c r="Q66" i="14"/>
  <c r="Q67" i="14"/>
  <c r="Q68" i="14"/>
  <c r="Q69" i="14"/>
  <c r="Q70" i="14"/>
  <c r="Q71" i="14"/>
  <c r="Q72" i="14"/>
  <c r="Q73" i="14"/>
  <c r="Q75" i="14"/>
  <c r="Q238" i="14"/>
  <c r="Q239" i="14"/>
  <c r="Q240" i="14"/>
  <c r="Q241" i="14"/>
  <c r="Q242" i="14"/>
  <c r="Q243" i="14"/>
  <c r="Q244" i="14"/>
  <c r="Q245" i="14"/>
  <c r="Q246" i="14"/>
  <c r="Q247" i="14"/>
  <c r="Q248" i="14"/>
  <c r="Q249" i="14"/>
  <c r="Q250" i="14"/>
  <c r="Q251" i="14"/>
  <c r="Q252" i="14"/>
  <c r="Q253" i="14"/>
  <c r="Q254" i="14"/>
  <c r="Q255" i="14"/>
  <c r="Q346" i="14"/>
  <c r="Q347" i="14"/>
  <c r="Q348" i="14"/>
  <c r="Q349" i="14"/>
  <c r="Q350" i="14"/>
  <c r="Q351" i="14"/>
  <c r="Q352" i="14"/>
  <c r="Q353" i="14"/>
  <c r="Q354" i="14"/>
  <c r="Q355" i="14"/>
  <c r="Q356" i="14"/>
  <c r="Q357" i="14"/>
  <c r="Q358" i="14"/>
  <c r="Q359" i="14"/>
  <c r="Q360" i="14"/>
  <c r="Q361" i="14"/>
  <c r="Q362" i="14"/>
  <c r="Q363" i="14"/>
  <c r="Q364" i="14"/>
  <c r="Q365" i="14"/>
  <c r="Q366" i="14"/>
  <c r="Q367" i="14"/>
  <c r="Q368" i="14"/>
  <c r="Q369" i="14"/>
  <c r="Q370" i="14"/>
  <c r="Q371" i="14"/>
  <c r="Q372" i="14"/>
  <c r="Q373" i="14"/>
  <c r="Q374" i="14"/>
  <c r="Q375" i="14"/>
  <c r="Q376" i="14"/>
  <c r="Q377" i="14"/>
  <c r="Q378" i="14"/>
  <c r="Q379" i="14"/>
  <c r="Q380" i="14"/>
  <c r="Q381" i="14"/>
  <c r="Q76" i="14"/>
  <c r="Q77" i="14"/>
  <c r="Q78" i="14"/>
  <c r="Q79" i="14"/>
  <c r="Q80" i="14"/>
  <c r="Q81" i="14"/>
  <c r="Q83" i="14"/>
  <c r="Q84" i="14"/>
  <c r="Q85" i="14"/>
  <c r="Q86" i="14"/>
  <c r="Q87" i="14"/>
  <c r="Q88" i="14"/>
  <c r="Q89" i="14"/>
  <c r="Q90" i="14"/>
  <c r="Q91" i="14"/>
  <c r="Q92" i="14"/>
  <c r="Q93" i="14"/>
  <c r="Q94" i="14"/>
  <c r="Q95" i="14"/>
  <c r="Q96" i="14"/>
  <c r="Q97" i="14"/>
  <c r="Q98" i="14"/>
  <c r="Q100" i="14"/>
  <c r="Q101" i="14"/>
  <c r="Q102" i="14"/>
  <c r="Q103" i="14"/>
  <c r="Q104" i="14"/>
  <c r="Q105" i="14"/>
  <c r="Q106" i="14"/>
  <c r="Q107" i="14"/>
  <c r="Q108" i="14"/>
  <c r="Q109" i="14"/>
  <c r="Q110" i="14"/>
  <c r="Q256" i="14"/>
  <c r="Q257" i="14"/>
  <c r="Q258" i="14"/>
  <c r="Q259" i="14"/>
  <c r="Q260" i="14"/>
  <c r="Q261" i="14"/>
  <c r="Q262" i="14"/>
  <c r="Q263" i="14"/>
  <c r="Q264" i="14"/>
  <c r="Q265" i="14"/>
  <c r="Q266" i="14"/>
  <c r="Q267" i="14"/>
  <c r="Q268" i="14"/>
  <c r="Q269" i="14"/>
  <c r="Q270" i="14"/>
  <c r="Q271" i="14"/>
  <c r="Q272" i="14"/>
  <c r="Q273" i="14"/>
  <c r="Q274" i="14"/>
  <c r="Q275" i="14"/>
  <c r="Q276" i="14"/>
  <c r="Q277" i="14"/>
  <c r="Q278" i="14"/>
  <c r="Q279" i="14"/>
  <c r="Q280" i="14"/>
  <c r="Q282" i="14"/>
  <c r="Q283" i="14"/>
  <c r="Q284" i="14"/>
  <c r="Q285" i="14"/>
  <c r="Q287" i="14"/>
  <c r="Q288" i="14"/>
  <c r="Q290" i="14"/>
  <c r="Q112" i="14"/>
  <c r="Q114" i="14"/>
  <c r="Q116" i="14"/>
  <c r="Q119" i="14"/>
  <c r="Q121" i="14"/>
  <c r="Q124" i="14"/>
  <c r="Q125" i="14"/>
  <c r="Q127" i="14"/>
  <c r="Q128" i="14"/>
  <c r="Q129" i="14"/>
  <c r="Q292" i="14"/>
  <c r="Q293" i="14"/>
  <c r="Q294" i="14"/>
  <c r="Q295" i="14"/>
  <c r="Q296" i="14"/>
  <c r="Q297" i="14"/>
  <c r="Q299" i="14"/>
  <c r="Q300" i="14"/>
  <c r="Q301" i="14"/>
  <c r="Q302" i="14"/>
  <c r="Q303" i="14"/>
  <c r="Q304" i="14"/>
  <c r="Q305" i="14"/>
  <c r="Q306" i="14"/>
  <c r="Q309" i="14"/>
  <c r="Q130" i="14"/>
  <c r="Q131" i="14"/>
  <c r="Q133" i="14"/>
  <c r="Q134" i="14"/>
  <c r="Q136" i="14"/>
  <c r="Q137" i="14"/>
  <c r="Q138" i="14"/>
  <c r="Q139" i="14"/>
  <c r="Q140" i="14"/>
  <c r="Q141" i="14"/>
  <c r="Q142" i="14"/>
  <c r="Q143" i="14"/>
  <c r="Q144" i="14"/>
  <c r="Q145" i="14"/>
  <c r="Q146" i="14"/>
  <c r="Q147" i="14"/>
  <c r="Q149" i="14"/>
  <c r="Q150" i="14"/>
  <c r="Q151" i="14"/>
  <c r="Q152" i="14"/>
  <c r="Q153" i="14"/>
  <c r="Q154" i="14"/>
  <c r="Q155" i="14"/>
  <c r="Q156" i="14"/>
  <c r="Q157" i="14"/>
  <c r="Q158" i="14"/>
  <c r="Q159" i="14"/>
  <c r="Q160" i="14"/>
  <c r="Q161" i="14"/>
  <c r="Q162" i="14"/>
  <c r="Q163" i="14"/>
  <c r="Q164" i="14"/>
  <c r="Q165" i="14"/>
  <c r="Q310" i="14"/>
  <c r="Q311" i="14"/>
  <c r="Q312" i="14"/>
  <c r="Q313" i="14"/>
  <c r="Q314" i="14"/>
  <c r="Q315" i="14"/>
  <c r="Q316" i="14"/>
  <c r="Q317" i="14"/>
  <c r="Q318" i="14"/>
  <c r="Q319" i="14"/>
  <c r="Q320" i="14"/>
  <c r="Q321" i="14"/>
  <c r="Q322" i="14"/>
  <c r="Q323" i="14"/>
  <c r="Q324" i="14"/>
  <c r="Q325" i="14"/>
  <c r="Q326" i="14"/>
  <c r="Q327" i="14"/>
  <c r="M61" i="15" l="1"/>
  <c r="M77" i="15"/>
  <c r="M66" i="15"/>
  <c r="M73" i="15"/>
  <c r="M62" i="15"/>
  <c r="M76" i="15"/>
  <c r="M69" i="15"/>
  <c r="M65" i="15"/>
  <c r="M78" i="15"/>
  <c r="M68" i="15"/>
  <c r="M71" i="15"/>
  <c r="M74" i="15"/>
  <c r="M67" i="15"/>
  <c r="M63" i="15"/>
  <c r="M64" i="15"/>
  <c r="M72" i="15"/>
  <c r="M75" i="15"/>
  <c r="M70" i="15"/>
</calcChain>
</file>

<file path=xl/sharedStrings.xml><?xml version="1.0" encoding="utf-8"?>
<sst xmlns="http://schemas.openxmlformats.org/spreadsheetml/2006/main" count="2286" uniqueCount="383">
  <si>
    <t>Comparison</t>
  </si>
  <si>
    <t>df</t>
  </si>
  <si>
    <t>R²</t>
  </si>
  <si>
    <t>p-value</t>
  </si>
  <si>
    <t>By distance to the reef</t>
  </si>
  <si>
    <t>Transect 1</t>
  </si>
  <si>
    <t>Transect 2</t>
  </si>
  <si>
    <t>Taxa</t>
  </si>
  <si>
    <t>Abudnace in T1</t>
  </si>
  <si>
    <t>Abundance in T2</t>
  </si>
  <si>
    <t>Disimilarity Explained</t>
  </si>
  <si>
    <t xml:space="preserve">macrofauna </t>
  </si>
  <si>
    <t>Close</t>
  </si>
  <si>
    <t>Far</t>
  </si>
  <si>
    <t>Drupella</t>
  </si>
  <si>
    <t>Ergalatax</t>
  </si>
  <si>
    <t>Ophiactis</t>
  </si>
  <si>
    <t>Middle</t>
  </si>
  <si>
    <t>Areopaguristes</t>
  </si>
  <si>
    <t>metabarcoding: combined motile and sessile fractions</t>
  </si>
  <si>
    <t>Annelida</t>
  </si>
  <si>
    <t>Cnidaria</t>
  </si>
  <si>
    <t>Chordata</t>
  </si>
  <si>
    <t>Bryozoa</t>
  </si>
  <si>
    <t>Lissoporcellana</t>
  </si>
  <si>
    <t>Eviota</t>
  </si>
  <si>
    <t>Istigobius</t>
  </si>
  <si>
    <t>Engina</t>
  </si>
  <si>
    <t>Pilumnidae</t>
  </si>
  <si>
    <t>Arthropoda</t>
  </si>
  <si>
    <t>Mollusca</t>
  </si>
  <si>
    <t>Entoprocta</t>
  </si>
  <si>
    <t>Discosea</t>
  </si>
  <si>
    <t>HHW02</t>
  </si>
  <si>
    <t>HHW03</t>
  </si>
  <si>
    <t>HHW04</t>
  </si>
  <si>
    <t>HHW05</t>
  </si>
  <si>
    <t>HHW06</t>
  </si>
  <si>
    <t>HHW07</t>
  </si>
  <si>
    <t>HHW08</t>
  </si>
  <si>
    <t>HHW10</t>
  </si>
  <si>
    <t>HHW11</t>
  </si>
  <si>
    <t>HHW13</t>
  </si>
  <si>
    <t>HHW14</t>
  </si>
  <si>
    <t>HHW15</t>
  </si>
  <si>
    <t>HHW16</t>
  </si>
  <si>
    <t>HHW18</t>
  </si>
  <si>
    <t>HHW19</t>
  </si>
  <si>
    <t>HHW21</t>
  </si>
  <si>
    <t>HHW23</t>
  </si>
  <si>
    <t>HHW24</t>
  </si>
  <si>
    <t>Phascolosoma</t>
  </si>
  <si>
    <t>Cuapetes</t>
  </si>
  <si>
    <t>Tanaidacea</t>
  </si>
  <si>
    <t>Alpheus</t>
  </si>
  <si>
    <t>Nassarius</t>
  </si>
  <si>
    <t>Chlorodiella</t>
  </si>
  <si>
    <t>Clanculus</t>
  </si>
  <si>
    <t>Barbatia</t>
  </si>
  <si>
    <t>Galathea</t>
  </si>
  <si>
    <t>Athanus</t>
  </si>
  <si>
    <t>Pagurixus</t>
  </si>
  <si>
    <t>Spionidae</t>
  </si>
  <si>
    <t>Stosicia</t>
  </si>
  <si>
    <t>Liomera</t>
  </si>
  <si>
    <t>Seila</t>
  </si>
  <si>
    <t>Epiactaea</t>
  </si>
  <si>
    <t>Pilodius</t>
  </si>
  <si>
    <t>Astralium</t>
  </si>
  <si>
    <t>Cerithiumtraillii</t>
  </si>
  <si>
    <t>Discodorididae</t>
  </si>
  <si>
    <t>Erronea</t>
  </si>
  <si>
    <t>Eunicidae</t>
  </si>
  <si>
    <t>Flabelligeridae</t>
  </si>
  <si>
    <t>Glyceridae</t>
  </si>
  <si>
    <t>Leocrates</t>
  </si>
  <si>
    <t>Lepidonotus</t>
  </si>
  <si>
    <t>Lepidozona</t>
  </si>
  <si>
    <t>Lysidice</t>
  </si>
  <si>
    <t>Medaeops</t>
  </si>
  <si>
    <t>Nematonereis</t>
  </si>
  <si>
    <t>Nemertea</t>
  </si>
  <si>
    <t>Nereididae</t>
  </si>
  <si>
    <t>Perna</t>
  </si>
  <si>
    <t>Sipuncula</t>
  </si>
  <si>
    <t>Trypanosyllis</t>
  </si>
  <si>
    <t>Mitrella</t>
  </si>
  <si>
    <t>Cerithium</t>
  </si>
  <si>
    <t>Diodora</t>
  </si>
  <si>
    <t>Pagurus</t>
  </si>
  <si>
    <t>Pisidia</t>
  </si>
  <si>
    <t>Plicatula</t>
  </si>
  <si>
    <t>Syllidae</t>
  </si>
  <si>
    <t>Armandia</t>
  </si>
  <si>
    <t>Ericthonius</t>
  </si>
  <si>
    <t>Indothais</t>
  </si>
  <si>
    <t>Priolepis</t>
  </si>
  <si>
    <t>Thalamita</t>
  </si>
  <si>
    <t>Corophiidae</t>
  </si>
  <si>
    <t>Enosteoides</t>
  </si>
  <si>
    <t>Etisus</t>
  </si>
  <si>
    <t>Flabelligera</t>
  </si>
  <si>
    <t>Kellia</t>
  </si>
  <si>
    <t>Lysmata</t>
  </si>
  <si>
    <t>Melita</t>
  </si>
  <si>
    <t>Ophiuroidea</t>
  </si>
  <si>
    <t>Thor</t>
  </si>
  <si>
    <t>Euplica</t>
  </si>
  <si>
    <t>Eurythoe</t>
  </si>
  <si>
    <t>Isnochiton</t>
  </si>
  <si>
    <t>Perinereis</t>
  </si>
  <si>
    <t>Scintilla</t>
  </si>
  <si>
    <t>Acteodes</t>
  </si>
  <si>
    <t>Ephippodonta</t>
  </si>
  <si>
    <t>Epialtidae</t>
  </si>
  <si>
    <t>Gobiidae</t>
  </si>
  <si>
    <t>Hybochelus</t>
  </si>
  <si>
    <t>Iphione</t>
  </si>
  <si>
    <t>Laevichlamys</t>
  </si>
  <si>
    <t>Polychaeta</t>
  </si>
  <si>
    <t>Ruditapes</t>
  </si>
  <si>
    <t>Septifer</t>
  </si>
  <si>
    <t>Lumbrineris</t>
  </si>
  <si>
    <t>Brachyura</t>
  </si>
  <si>
    <t>Palmyra</t>
  </si>
  <si>
    <t>Dorvilleidae</t>
  </si>
  <si>
    <t>Goniobranchus</t>
  </si>
  <si>
    <t>Leptodius</t>
  </si>
  <si>
    <t>Mesodesmatidae</t>
  </si>
  <si>
    <t>Novactaea</t>
  </si>
  <si>
    <t>Pachycheles</t>
  </si>
  <si>
    <t>Patelloida</t>
  </si>
  <si>
    <t>Polynoidae</t>
  </si>
  <si>
    <t>Polyplacophora</t>
  </si>
  <si>
    <t>Purpuradusta</t>
  </si>
  <si>
    <t>Serpulidae</t>
  </si>
  <si>
    <t>Tridentiger</t>
  </si>
  <si>
    <t>Chrysopetalidae</t>
  </si>
  <si>
    <t>Cirratulidae</t>
  </si>
  <si>
    <t>Dendrodoris</t>
  </si>
  <si>
    <t>Hypselodoris</t>
  </si>
  <si>
    <t>Limaria</t>
  </si>
  <si>
    <t>Macrophiothrix</t>
  </si>
  <si>
    <t>Paleanotus</t>
  </si>
  <si>
    <t>Boninpagurus</t>
  </si>
  <si>
    <t>Lancelet</t>
  </si>
  <si>
    <t>Polycladida</t>
  </si>
  <si>
    <t>Terebellidae</t>
  </si>
  <si>
    <t>Diogenes</t>
  </si>
  <si>
    <t>Hydroides</t>
  </si>
  <si>
    <t>Lima</t>
  </si>
  <si>
    <t>Striarca</t>
  </si>
  <si>
    <t>Branchiomma</t>
  </si>
  <si>
    <t>Bittium</t>
  </si>
  <si>
    <t>Palaemonidae</t>
  </si>
  <si>
    <t>Pinnidae</t>
  </si>
  <si>
    <t>Synalpheus</t>
  </si>
  <si>
    <t>Bivalvia</t>
  </si>
  <si>
    <t>Ethadiella</t>
  </si>
  <si>
    <t>Phyllodoce</t>
  </si>
  <si>
    <t>Pinctada</t>
  </si>
  <si>
    <t>Maera</t>
  </si>
  <si>
    <t>Mitra</t>
  </si>
  <si>
    <t>Scutus</t>
  </si>
  <si>
    <t>Brachidontes</t>
  </si>
  <si>
    <t>Strigatella</t>
  </si>
  <si>
    <t>Rhyssoplax</t>
  </si>
  <si>
    <t>Arcopsis</t>
  </si>
  <si>
    <t>Ophioplocus</t>
  </si>
  <si>
    <t>Nereiphylla</t>
  </si>
  <si>
    <t>Petrolisthes</t>
  </si>
  <si>
    <t>Gastropoda</t>
  </si>
  <si>
    <t>phylum</t>
  </si>
  <si>
    <t>total</t>
  </si>
  <si>
    <t>Bacillariophyta</t>
  </si>
  <si>
    <t>Porifera</t>
  </si>
  <si>
    <t>Rhodophyta</t>
  </si>
  <si>
    <t>Oomycota</t>
  </si>
  <si>
    <t>Echinodermata</t>
  </si>
  <si>
    <t>Phaeophyceae</t>
  </si>
  <si>
    <t>Chlorophyta</t>
  </si>
  <si>
    <t>Basidiomycota</t>
  </si>
  <si>
    <t>Platyhelminthes</t>
  </si>
  <si>
    <t>Nematoda</t>
  </si>
  <si>
    <t>Placozoa</t>
  </si>
  <si>
    <t>Gastrotricha</t>
  </si>
  <si>
    <t>Brachiopoda</t>
  </si>
  <si>
    <t>Haptophyta</t>
  </si>
  <si>
    <t>Rotifera</t>
  </si>
  <si>
    <t>Mucoromycota</t>
  </si>
  <si>
    <t>Apusomonadida</t>
  </si>
  <si>
    <t>Bigyra</t>
  </si>
  <si>
    <t>Chaetognatha</t>
  </si>
  <si>
    <t>Ascomycota</t>
  </si>
  <si>
    <t>Onychophora</t>
  </si>
  <si>
    <t>Zoopagomycota</t>
  </si>
  <si>
    <t>Cercozoa</t>
  </si>
  <si>
    <t>Choanoflagellata</t>
  </si>
  <si>
    <t>Chrysophyceae</t>
  </si>
  <si>
    <t>Pelagophyceae</t>
  </si>
  <si>
    <t>Streptophyta</t>
  </si>
  <si>
    <t>Evosea</t>
  </si>
  <si>
    <t>Phoronida</t>
  </si>
  <si>
    <t>Dictyochophyceae</t>
  </si>
  <si>
    <t>unAssigned</t>
  </si>
  <si>
    <t>Total</t>
  </si>
  <si>
    <t>Coral</t>
  </si>
  <si>
    <t>Pavona</t>
  </si>
  <si>
    <t>Acropora</t>
  </si>
  <si>
    <t>Platygyra</t>
  </si>
  <si>
    <t>Supplemental material for:</t>
  </si>
  <si>
    <t>* Corresponding author</t>
  </si>
  <si>
    <t>Corresponding author: David M. Baker</t>
  </si>
  <si>
    <t>E-mail: dmbaker@hku.hk</t>
  </si>
  <si>
    <t>Residual</t>
  </si>
  <si>
    <t>Mean Sq</t>
  </si>
  <si>
    <t>Df</t>
  </si>
  <si>
    <r>
      <rPr>
        <b/>
        <i/>
        <sz val="12"/>
        <color rgb="FF000000"/>
        <rFont val="Arial"/>
        <family val="2"/>
      </rPr>
      <t>p</t>
    </r>
    <r>
      <rPr>
        <b/>
        <sz val="12"/>
        <color rgb="FF000000"/>
        <rFont val="Arial"/>
        <family val="2"/>
      </rPr>
      <t>-value</t>
    </r>
  </si>
  <si>
    <t>Phylum</t>
  </si>
  <si>
    <t>Estimate</t>
  </si>
  <si>
    <t>Date set</t>
  </si>
  <si>
    <t>Sessile</t>
  </si>
  <si>
    <t>byARMS (motile + sessile)</t>
  </si>
  <si>
    <t>3 Tree of Life, Wellcome Sanger Institute, Hinxton, Cambridge, UK</t>
  </si>
  <si>
    <t>1 The Swire Institute of Marine Science, The University of Hong Kong, Cape D’Aguilar Road, Shek O, Hong Kong SAR, China</t>
  </si>
  <si>
    <t>2 School of Biological Sciences, The University of Hong Kong, Pok Fu Lam, Hong Kong SAR, China</t>
  </si>
  <si>
    <t>Table_S8_LM_Table</t>
  </si>
  <si>
    <t>Monoculture</t>
  </si>
  <si>
    <t>Polyculture</t>
  </si>
  <si>
    <t>Dataset</t>
  </si>
  <si>
    <t>Factor</t>
  </si>
  <si>
    <t>SumOfSqs</t>
  </si>
  <si>
    <t>F</t>
  </si>
  <si>
    <t>Motile</t>
  </si>
  <si>
    <t>Sum Sq</t>
  </si>
  <si>
    <t>5, 12</t>
  </si>
  <si>
    <t>Constrained (%)</t>
  </si>
  <si>
    <t>Unconstrained (%)</t>
  </si>
  <si>
    <t>CAP1 (% of constrained)</t>
  </si>
  <si>
    <t>CAP2 (% of constrained)</t>
  </si>
  <si>
    <t>CAP1 + CAP2 (% of constrained)</t>
  </si>
  <si>
    <t>ARMS (Motile + Sessile)</t>
  </si>
  <si>
    <t>Coral Assemblage</t>
  </si>
  <si>
    <t>χ²</t>
  </si>
  <si>
    <t xml:space="preserve">Coral Assemblage </t>
  </si>
  <si>
    <t>Macrofaunal Abundance (2mm counts)</t>
  </si>
  <si>
    <t>OTU Richness (ARMS molecular)</t>
  </si>
  <si>
    <t>SE</t>
  </si>
  <si>
    <t>z-ratio</t>
  </si>
  <si>
    <t>p-value (Tukey)</t>
  </si>
  <si>
    <t xml:space="preserve">Estimates are on the log scale; positive values indicate higher abundance in the first group compared to the second. P-values were adjusted for multiple comparisons using the Tukey method (emmeans). No pairwise comparisons were significant after correction (all p &gt; 0.05). </t>
  </si>
  <si>
    <t>Control – Pavona</t>
  </si>
  <si>
    <t>Control – Acropora</t>
  </si>
  <si>
    <t>Control – Platygyra</t>
  </si>
  <si>
    <t>Control – Mix</t>
  </si>
  <si>
    <t>Control – Poly</t>
  </si>
  <si>
    <t>Acropora – Pavona</t>
  </si>
  <si>
    <t>Acropora – Platygyra</t>
  </si>
  <si>
    <t>Acropora – Mix</t>
  </si>
  <si>
    <t>Acropora – Poly</t>
  </si>
  <si>
    <t>Pavona – Platygyra</t>
  </si>
  <si>
    <t>Pavona – Mix</t>
  </si>
  <si>
    <t>Pavona – Poly</t>
  </si>
  <si>
    <t>Platygyra – Mix</t>
  </si>
  <si>
    <t>Platygyra – Poly</t>
  </si>
  <si>
    <t>Mix – Poly</t>
  </si>
  <si>
    <t xml:space="preserve">Shapiro-Wilk </t>
  </si>
  <si>
    <t>Significant Pairs</t>
  </si>
  <si>
    <t xml:space="preserve">Distance was included as a random intercept ((1 | distance)) in all models. Overall significance of coral assemblage was assessed using Type II Wald chi-square tests (car::Anova). Significant p-values (&lt; 0.05) are indicated in bold. Model residuals were tested for normality using the Shapiro-Wilk test and met the assumption of normality (all p &gt; 0.05). For models with significant overall effects, pairwise comparisons were performed using estimated marginal means (emmeans package) with Tukey adjustment for multiple comparisons. </t>
  </si>
  <si>
    <t>na</t>
  </si>
  <si>
    <r>
      <t xml:space="preserve">Model </t>
    </r>
    <r>
      <rPr>
        <b/>
        <i/>
        <sz val="12"/>
        <color rgb="FF000000"/>
        <rFont val="Arial"/>
        <family val="2"/>
      </rPr>
      <t>p</t>
    </r>
    <r>
      <rPr>
        <b/>
        <sz val="12"/>
        <color rgb="FF000000"/>
        <rFont val="Arial"/>
        <family val="2"/>
      </rPr>
      <t>-value</t>
    </r>
  </si>
  <si>
    <r>
      <t xml:space="preserve">Pairwise </t>
    </r>
    <r>
      <rPr>
        <b/>
        <i/>
        <sz val="12"/>
        <color rgb="FF000000"/>
        <rFont val="Arial"/>
        <family val="2"/>
      </rPr>
      <t>p</t>
    </r>
    <r>
      <rPr>
        <b/>
        <sz val="12"/>
        <color rgb="FF000000"/>
        <rFont val="Arial"/>
        <family val="2"/>
      </rPr>
      <t>-value</t>
    </r>
  </si>
  <si>
    <t>Sessile Fraction</t>
  </si>
  <si>
    <t>Motile Fraction</t>
  </si>
  <si>
    <t>Control - Pavona</t>
  </si>
  <si>
    <t>Control - Acropora x Platygyra</t>
  </si>
  <si>
    <t>Control - Platygyra</t>
  </si>
  <si>
    <t xml:space="preserve">Control - Acropora x Pavona x Platygyra </t>
  </si>
  <si>
    <t>&lt;0.0001</t>
  </si>
  <si>
    <t>&lt;0.001</t>
  </si>
  <si>
    <t>Distance</t>
  </si>
  <si>
    <t>mono-Acropora</t>
  </si>
  <si>
    <t>mono-Pavona</t>
  </si>
  <si>
    <t>mono-Platygyra</t>
  </si>
  <si>
    <t>OTUs</t>
  </si>
  <si>
    <t>mixed-culture (Acropora + Platygyra)</t>
  </si>
  <si>
    <t>polyculture (all three genera)</t>
  </si>
  <si>
    <t>control (no seeded coral)</t>
  </si>
  <si>
    <t xml:space="preserve">Values represent the number of unique OTUs per phylum present across the three replicate ARMS within each coral assemblage (i.e., the union of OTUs across replicates, not summed counts). The "Total" row shows overall OTU richness across all phyla. </t>
  </si>
  <si>
    <t xml:space="preserve">Macrofauna </t>
  </si>
  <si>
    <t xml:space="preserve">Analyses were performed with 999 permutations (set.seed = 123). Macrofauna count data were analyzed at the genus level; metabarcoding data (square-root transformed read abundance) were analyzed at the phylum level. Only taxa contributing &gt;2% to the total dissimilarity and with significant p-values (p &lt; 0.05) are shown.
</t>
  </si>
  <si>
    <t>CoralNo.</t>
  </si>
  <si>
    <t>Treatment</t>
  </si>
  <si>
    <t>CoralGenera</t>
  </si>
  <si>
    <t>24/09/2020</t>
  </si>
  <si>
    <t>17/12/2020</t>
  </si>
  <si>
    <t>04/02/2021</t>
  </si>
  <si>
    <t>13/05/2021</t>
  </si>
  <si>
    <t>22/07/2021</t>
  </si>
  <si>
    <t>29/10/2021</t>
  </si>
  <si>
    <t>21/09/2022</t>
  </si>
  <si>
    <t>07/01/2023</t>
  </si>
  <si>
    <t>26/04/2023</t>
  </si>
  <si>
    <t>06/07/2023</t>
  </si>
  <si>
    <t>MixedCulture</t>
  </si>
  <si>
    <t>detached</t>
  </si>
  <si>
    <t>dead</t>
  </si>
  <si>
    <t>HHW01</t>
  </si>
  <si>
    <t>HHW09</t>
  </si>
  <si>
    <t>HHW12</t>
  </si>
  <si>
    <t>HHW17</t>
  </si>
  <si>
    <t>HHW20</t>
  </si>
  <si>
    <t>HHW22</t>
  </si>
  <si>
    <t>ARMSno</t>
  </si>
  <si>
    <t>perGrowth</t>
  </si>
  <si>
    <t>status</t>
  </si>
  <si>
    <t>present</t>
  </si>
  <si>
    <t>netGain</t>
  </si>
  <si>
    <t>ARMS</t>
  </si>
  <si>
    <t>fraction</t>
  </si>
  <si>
    <t>input</t>
  </si>
  <si>
    <t>filtered</t>
  </si>
  <si>
    <t>denoised</t>
  </si>
  <si>
    <t>merged</t>
  </si>
  <si>
    <t>non-chimeric</t>
  </si>
  <si>
    <t>conRM</t>
  </si>
  <si>
    <t>OTU</t>
  </si>
  <si>
    <t>perRead</t>
  </si>
  <si>
    <t>106um</t>
  </si>
  <si>
    <t>500um</t>
  </si>
  <si>
    <t>sessile</t>
  </si>
  <si>
    <t>CoralAssem</t>
  </si>
  <si>
    <t>ByARMS</t>
  </si>
  <si>
    <t>id</t>
  </si>
  <si>
    <t>no.</t>
  </si>
  <si>
    <t>clusted</t>
  </si>
  <si>
    <t>SatOTU</t>
  </si>
  <si>
    <t>SatRead</t>
  </si>
  <si>
    <t xml:space="preserve">Total </t>
  </si>
  <si>
    <t>Control</t>
  </si>
  <si>
    <r>
      <t>mono-</t>
    </r>
    <r>
      <rPr>
        <i/>
        <sz val="12"/>
        <color theme="1"/>
        <rFont val="Arial"/>
        <family val="2"/>
      </rPr>
      <t>Pavona</t>
    </r>
  </si>
  <si>
    <r>
      <t>mono-</t>
    </r>
    <r>
      <rPr>
        <i/>
        <sz val="12"/>
        <color theme="1"/>
        <rFont val="Arial"/>
        <family val="2"/>
      </rPr>
      <t>Acropora</t>
    </r>
  </si>
  <si>
    <r>
      <t>mono-</t>
    </r>
    <r>
      <rPr>
        <i/>
        <sz val="12"/>
        <color theme="1"/>
        <rFont val="Arial"/>
        <family val="2"/>
      </rPr>
      <t>Platygyra</t>
    </r>
  </si>
  <si>
    <r>
      <t>mix-</t>
    </r>
    <r>
      <rPr>
        <i/>
        <sz val="12"/>
        <color theme="1"/>
        <rFont val="Arial"/>
        <family val="2"/>
      </rPr>
      <t>Acropora</t>
    </r>
    <r>
      <rPr>
        <sz val="12"/>
        <color theme="1"/>
        <rFont val="Arial"/>
        <family val="2"/>
      </rPr>
      <t xml:space="preserve"> &amp; </t>
    </r>
    <r>
      <rPr>
        <i/>
        <sz val="12"/>
        <color theme="1"/>
        <rFont val="Arial"/>
        <family val="2"/>
      </rPr>
      <t>Platygyra</t>
    </r>
  </si>
  <si>
    <t>Combined</t>
  </si>
  <si>
    <t>Columns show the MLE for each fragment at each survey date. status indicates whether the fragment remained attached and alive at the end of the study period (present), was lost due to detachment (detached), or died in place (dead). netGain is the difference between the final and initial MLE measurements (cm), and perGrowth is the percentage increase relative to the initial measurement. Fragments with 0 or negative netGain/growth indicate partial/total mortality, or detachment. ARMS_no indicates the restoration unit, Treatment indicates the coral assemblage type, and CoralGenera indicates the genus of the fragment.</t>
  </si>
  <si>
    <t xml:space="preserve">Supplementary Table S1: Maximum linear extension (MLE, cm) of individual coral fragments measured from top-down photographs across ten monitoring surveys between September 2020 and July 2023. </t>
  </si>
  <si>
    <r>
      <rPr>
        <b/>
        <sz val="12"/>
        <color rgb="FF000000"/>
        <rFont val="Arial"/>
        <family val="2"/>
      </rPr>
      <t>Supplementary Table S3A: Analysis of Deviance Table (Type II Wald chi-square tests).</t>
    </r>
    <r>
      <rPr>
        <sz val="12"/>
        <color rgb="FF000000"/>
        <rFont val="Arial"/>
        <family val="2"/>
      </rPr>
      <t xml:space="preserve">
</t>
    </r>
  </si>
  <si>
    <r>
      <rPr>
        <b/>
        <sz val="12"/>
        <color rgb="FF000000"/>
        <rFont val="Arial"/>
        <family val="2"/>
      </rPr>
      <t>Supplementary Table S3B: Pairwise comparisons of coral assemblages for macrofaunal abundance (Poisson GLMM; 2mm count data).</t>
    </r>
    <r>
      <rPr>
        <sz val="12"/>
        <color rgb="FF000000"/>
        <rFont val="Arial"/>
        <family val="2"/>
      </rPr>
      <t xml:space="preserve">
</t>
    </r>
  </si>
  <si>
    <t xml:space="preserve">Supplementary Table S4: Sequencing read counts and OTU richness per ARMS unit across molecular fractions. </t>
  </si>
  <si>
    <t>Supplementary Table S5: Phylum-Level OTU richness by ARMS Unit.</t>
  </si>
  <si>
    <t>Supplementary Table S6: Phylum-specific OTU richness by coral assemblage.</t>
  </si>
  <si>
    <r>
      <rPr>
        <b/>
        <sz val="12"/>
        <color theme="1"/>
        <rFont val="Aptos Narrow"/>
        <scheme val="minor"/>
      </rPr>
      <t xml:space="preserve">Supplementary Table S7A: PERMANOVA results testing the effects of coral assemblage.
</t>
    </r>
    <r>
      <rPr>
        <sz val="12"/>
        <color theme="1"/>
        <rFont val="Aptos Narrow"/>
        <scheme val="minor"/>
      </rPr>
      <t>PERMANOVA results testing the effects of coral assemblage (six levels: control, mono-Acropora, mono-Pavona, mono-Platygyra, mix-Acropora &amp; Platygyra, and polyculture) and depth on benthic community composition across four datasets. Analyses were performed with restricted permutations (permutations = 999) within depth levels (strata = depth) and marginal tests (by = "margin"). Significant p-values (&lt; 0.05) are indicated in bold.</t>
    </r>
  </si>
  <si>
    <r>
      <rPr>
        <b/>
        <sz val="12"/>
        <color theme="1"/>
        <rFont val="Aptos Narrow"/>
        <scheme val="minor"/>
      </rPr>
      <t>Supplementary Table S7B: PERMDISP results testing for homogeneity of multivariate dispersions among coral assemblages across four datasets.</t>
    </r>
    <r>
      <rPr>
        <sz val="12"/>
        <color theme="1"/>
        <rFont val="Aptos Narrow"/>
        <scheme val="minor"/>
      </rPr>
      <t xml:space="preserve"> 
Non-significant p-values (all &gt; 0.05) indicate that group dispersions are homogeneous, confirming that PERMANOVA results reflect differences in group centroids (community composition) rather than heterogeneity in group dispersions.</t>
    </r>
  </si>
  <si>
    <r>
      <t xml:space="preserve">Supplementary Table S7C: dbRDA summary of variation in community composition explained by coral assemblage and depth across four datasets. 
</t>
    </r>
    <r>
      <rPr>
        <sz val="12"/>
        <color theme="1"/>
        <rFont val="Aptos Narrow"/>
        <scheme val="minor"/>
      </rPr>
      <t>Values represent the proportion of total variation explained by the constrained model and by the first two constrained axes.</t>
    </r>
  </si>
  <si>
    <t xml:space="preserve">Supplementary Table S9: Similarity Percentage (SIMPER) by distance. </t>
  </si>
  <si>
    <t>Supplementary Table S8: Results of Linear Mixed Models (LMMs) testing the effect of coral assemblage on square-root transformed read abundance for five dominant phyla.</t>
  </si>
  <si>
    <t>Table_S1_coralData</t>
  </si>
  <si>
    <t xml:space="preserve">Supplementary Table S1: Maximum linear extension (MLE, cm) of individual coral fragments measured from top-down photographs across ten monitoring surveys between September 2020 and July 2023. 																</t>
  </si>
  <si>
    <t>Table_S2_Macrofauna_by_ARMS</t>
  </si>
  <si>
    <t xml:space="preserve">Supplementary Table S2: Macrofauna Community Composition by ARMS Unit.											</t>
  </si>
  <si>
    <t>Table_S3_GLMM_Table</t>
  </si>
  <si>
    <t>Supplementary Table S3A: Analysis of Deviance Table (Type II Wald chi-square tests).</t>
  </si>
  <si>
    <t>Supplementary Table S3B: Pairwise comparisons of coral assemblages for macrofaunal abundance (Poisson GLMM; 2mm count data).</t>
  </si>
  <si>
    <t>Table_S4_OTU_Table</t>
  </si>
  <si>
    <t>Table_S5_Phylum_by_ARSM</t>
  </si>
  <si>
    <t>4 Agriculture, Fisheries and Conservation Department, The Government of the Hong Kong Special Administrative Region (HKSAR), Hong Kong SAR, China</t>
  </si>
  <si>
    <t>5 WWF-Hong Kong, Hong Kong SAR, China</t>
  </si>
  <si>
    <t>6 Simon F. S. Li Marine Science Laboratory, School of Life Sciences, The Chinese University of Hong Kong, Shatin, Hong Kong SAR, China</t>
  </si>
  <si>
    <t>Zhongyue Wan1,2, Charlotte Ho3, Vriko Yu1,2, Philip D. Thompson1,2, Zoe Kwan Ting Wong4, Louise Wai Hung Li4, Kelvin Jun Yin So5, Hei Wut Fong5, Shelby E. McIlroy6 &amp; David M. Baker1,2*</t>
  </si>
  <si>
    <t>Table_S6_PhlyRichnessCorals</t>
  </si>
  <si>
    <t>Table_S7_multidimensionalAnalysis</t>
  </si>
  <si>
    <t>Supplementary Table S7A: PERMANOVA results testing the effects of coral assemblage.</t>
  </si>
  <si>
    <t>Supplementary Table S7B: PERMDISP results testing for homogeneity of multivariate dispersions among coral assemblages across four datasets.</t>
  </si>
  <si>
    <t>Supplementary Table S7C: dbRDA summary of variation in community composition explained by coral assemblage and depth across four datasets.</t>
  </si>
  <si>
    <t>Table_S9_SIMPER</t>
  </si>
  <si>
    <t>Restoring Beyond Corals: Confounding Effects of Distance and Coral Assemblage on Cryptobenthic Community Assembly</t>
  </si>
  <si>
    <t>Genus</t>
  </si>
  <si>
    <t>Macrofauna community composition across all 18 processed ARMS units. Values represent the total count of individuals per genus identified through morphological sorting. ARMS units are labeled by ARMS ID (HHW02–HHW24). Treatments and depth transects are as defined in Table 1.</t>
  </si>
  <si>
    <r>
      <rPr>
        <b/>
        <sz val="15"/>
        <color theme="1"/>
        <rFont val="Arial"/>
        <family val="2"/>
      </rPr>
      <t>Supplementary Table S2: Macrofauna Community Composition by ARMS Unit.</t>
    </r>
    <r>
      <rPr>
        <sz val="15"/>
        <color theme="1"/>
        <rFont val="Arial"/>
        <family val="2"/>
      </rPr>
      <t xml:space="preserve">
</t>
    </r>
  </si>
  <si>
    <t>Analysis of Deviance (Type II Wald chi-square tests) of Generalized Linear Mixed Models (GLMMs) testing the effect of coral assemblage on macrofaunal abundance (Poisson GLMM; 2mm count data) and OTU richness (Negative Binomial GLMM; ARMS molecular data). Depth was included as a random intercept ((1 | depth)) in both models. Significant p-values (&lt; 0.05) are indicated in bold.</t>
  </si>
  <si>
    <t xml:space="preserve">Values show the number of reads retained at each stage of the bioinformatic pipeline: raw reads (input), after quality filtering (filtered), after denoising (denoised), after merging paired-end reads (merged), after chimera removal (non-chimeric), after decontamination against negative controls (conRM), and after clustering into OTUs at 97% similarity (clusted). perRead indicates the percentage of raw reads retained through the full pipeline. OTU is the observed OTU richness, and SatRead and SatOTU are the read depth and OTU richness at the rarefaction plateau (defined as the point where the slope of the rarefaction curve dropped below 0.0001). ARMS units are grouped by molecular fraction (106 µm, 500 µm, sessile, and combined total). CoralAssem indicates the treatment type and coral species seeded.
</t>
  </si>
  <si>
    <t xml:space="preserve">Phylum-level read OTU richness across all 18 processed ARMS units based on the number of unique operational taxonomic units (OTUs) per ARMS following quality filtering and clustering at 97% sequence similarity. Unassigned reads are shown separately. ARMS units are labeled by ARMS ID (HHW02–HHW24). Treatments and depth transects are as defined in Table 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</si>
</sst>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E+00"/>
    <numFmt numFmtId="166" formatCode="0.0%"/>
    <numFmt numFmtId="167" formatCode="0.000"/>
    <numFmt numFmtId="168" formatCode="dd/mm/yyyy;@"/>
  </numFmts>
  <fonts count="28" x14ac:knownFonts="1">
    <font>
      <sz val="12"/>
      <color theme="1"/>
      <name val="Aptos Narrow"/>
      <family val="2"/>
      <scheme val="minor"/>
    </font>
    <font>
      <sz val="15"/>
      <color rgb="FFF9FAFB"/>
      <name val="Helvetica Neue"/>
      <family val="2"/>
    </font>
    <font>
      <sz val="15"/>
      <color rgb="FFF9FAFB"/>
      <name val="Helvetica Neue"/>
      <family val="2"/>
    </font>
    <font>
      <sz val="15"/>
      <color theme="1"/>
      <name val="Aptos Narrow"/>
      <family val="2"/>
      <scheme val="minor"/>
    </font>
    <font>
      <sz val="12"/>
      <color theme="1"/>
      <name val="Aptos Narrow"/>
      <scheme val="minor"/>
    </font>
    <font>
      <i/>
      <sz val="12"/>
      <color theme="1"/>
      <name val="Aptos Narrow"/>
      <scheme val="minor"/>
    </font>
    <font>
      <b/>
      <sz val="12"/>
      <color theme="1"/>
      <name val="Aptos Narrow"/>
      <scheme val="minor"/>
    </font>
    <font>
      <sz val="15"/>
      <color theme="1"/>
      <name val="Aptos Narrow"/>
      <scheme val="minor"/>
    </font>
    <font>
      <i/>
      <sz val="15"/>
      <color theme="1"/>
      <name val="Aptos Narrow"/>
      <scheme val="minor"/>
    </font>
    <font>
      <b/>
      <sz val="10"/>
      <color theme="1"/>
      <name val="Arial"/>
      <family val="2"/>
    </font>
    <font>
      <sz val="10"/>
      <color theme="1"/>
      <name val="Arial"/>
      <family val="2"/>
    </font>
    <font>
      <b/>
      <sz val="14"/>
      <color rgb="FFFF0000"/>
      <name val="Arial"/>
      <family val="2"/>
    </font>
    <font>
      <sz val="12"/>
      <color rgb="FF000000"/>
      <name val="Arial"/>
      <family val="2"/>
    </font>
    <font>
      <sz val="10"/>
      <color rgb="FF000000"/>
      <name val="Aptos Narrow"/>
      <scheme val="minor"/>
    </font>
    <font>
      <b/>
      <sz val="12"/>
      <color rgb="FF000000"/>
      <name val="Arial"/>
      <family val="2"/>
    </font>
    <font>
      <b/>
      <i/>
      <sz val="12"/>
      <color rgb="FF000000"/>
      <name val="Arial"/>
      <family val="2"/>
    </font>
    <font>
      <sz val="12"/>
      <color theme="1"/>
      <name val="Arial"/>
      <family val="2"/>
    </font>
    <font>
      <b/>
      <sz val="12"/>
      <color theme="1"/>
      <name val="Arial"/>
      <family val="2"/>
    </font>
    <font>
      <sz val="11"/>
      <color theme="1"/>
      <name val="Lucida Grande"/>
      <family val="2"/>
    </font>
    <font>
      <i/>
      <sz val="12"/>
      <color rgb="FF000000"/>
      <name val="Arial"/>
      <family val="2"/>
    </font>
    <font>
      <sz val="12"/>
      <name val="Arial"/>
      <family val="2"/>
    </font>
    <font>
      <sz val="12"/>
      <color theme="0" tint="-0.14999847407452621"/>
      <name val="Arial"/>
      <family val="2"/>
    </font>
    <font>
      <b/>
      <sz val="15"/>
      <color theme="1"/>
      <name val="Arial"/>
      <family val="2"/>
    </font>
    <font>
      <sz val="15"/>
      <color theme="1"/>
      <name val="Arial"/>
      <family val="2"/>
    </font>
    <font>
      <sz val="12"/>
      <color theme="1"/>
      <name val="Lucida Grande"/>
      <family val="2"/>
    </font>
    <font>
      <i/>
      <sz val="12"/>
      <color theme="1"/>
      <name val="Arial"/>
      <family val="2"/>
    </font>
    <font>
      <i/>
      <sz val="15"/>
      <color theme="1"/>
      <name val="Arial"/>
      <family val="2"/>
    </font>
    <font>
      <b/>
      <sz val="15"/>
      <color rgb="FF000000"/>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s>
  <borders count="9">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dotted">
        <color indexed="64"/>
      </bottom>
      <diagonal/>
    </border>
    <border>
      <left/>
      <right/>
      <top style="dotted">
        <color indexed="64"/>
      </top>
      <bottom/>
      <diagonal/>
    </border>
  </borders>
  <cellStyleXfs count="4">
    <xf numFmtId="0" fontId="0" fillId="0" borderId="0"/>
    <xf numFmtId="0" fontId="13" fillId="0" borderId="0"/>
    <xf numFmtId="0" fontId="16" fillId="0" borderId="0"/>
    <xf numFmtId="9" fontId="16" fillId="0" borderId="0" applyFont="0" applyFill="0" applyBorder="0" applyAlignment="0" applyProtection="0"/>
  </cellStyleXfs>
  <cellXfs count="122">
    <xf numFmtId="0" fontId="0" fillId="0" borderId="0" xfId="0"/>
    <xf numFmtId="0" fontId="2" fillId="0" borderId="0" xfId="0" applyFont="1"/>
    <xf numFmtId="0" fontId="1" fillId="0" borderId="0" xfId="0" applyFont="1"/>
    <xf numFmtId="0" fontId="0" fillId="3" borderId="0" xfId="0" applyFill="1"/>
    <xf numFmtId="0" fontId="0" fillId="3" borderId="1" xfId="0" applyFill="1" applyBorder="1"/>
    <xf numFmtId="0" fontId="5" fillId="3" borderId="1" xfId="0" applyFont="1" applyFill="1" applyBorder="1"/>
    <xf numFmtId="164" fontId="0" fillId="3" borderId="1" xfId="0" applyNumberFormat="1" applyFill="1" applyBorder="1"/>
    <xf numFmtId="165" fontId="6" fillId="3" borderId="1" xfId="0" applyNumberFormat="1" applyFont="1" applyFill="1" applyBorder="1"/>
    <xf numFmtId="166" fontId="0" fillId="3" borderId="1" xfId="0" applyNumberFormat="1" applyFill="1" applyBorder="1"/>
    <xf numFmtId="0" fontId="0" fillId="2" borderId="1" xfId="0" applyFill="1" applyBorder="1"/>
    <xf numFmtId="164" fontId="0" fillId="2" borderId="1" xfId="0" applyNumberFormat="1" applyFill="1" applyBorder="1"/>
    <xf numFmtId="165" fontId="6" fillId="2" borderId="1" xfId="0" applyNumberFormat="1" applyFont="1" applyFill="1" applyBorder="1"/>
    <xf numFmtId="166" fontId="0" fillId="2" borderId="1" xfId="0" applyNumberFormat="1" applyFill="1" applyBorder="1"/>
    <xf numFmtId="0" fontId="7" fillId="0" borderId="0" xfId="0" applyFont="1"/>
    <xf numFmtId="0" fontId="8" fillId="0" borderId="0" xfId="0" applyFont="1"/>
    <xf numFmtId="0" fontId="3" fillId="0" borderId="0" xfId="0" applyFont="1"/>
    <xf numFmtId="0" fontId="9" fillId="0" borderId="0" xfId="0" applyFont="1"/>
    <xf numFmtId="0" fontId="10" fillId="0" borderId="0" xfId="0" applyFont="1"/>
    <xf numFmtId="0" fontId="11" fillId="0" borderId="0" xfId="0" applyFont="1"/>
    <xf numFmtId="0" fontId="14" fillId="4" borderId="4" xfId="0" applyFont="1" applyFill="1" applyBorder="1" applyAlignment="1">
      <alignment horizontal="center" vertical="top" wrapText="1"/>
    </xf>
    <xf numFmtId="0" fontId="12" fillId="0" borderId="0" xfId="0" applyFont="1" applyAlignment="1">
      <alignment vertical="top" wrapText="1"/>
    </xf>
    <xf numFmtId="0" fontId="12" fillId="0" borderId="0" xfId="0" applyFont="1"/>
    <xf numFmtId="0" fontId="12" fillId="0" borderId="0" xfId="0" applyFont="1" applyAlignment="1">
      <alignment horizontal="left" vertical="top" wrapText="1"/>
    </xf>
    <xf numFmtId="0" fontId="0" fillId="0" borderId="0" xfId="0" applyAlignment="1">
      <alignment horizontal="center"/>
    </xf>
    <xf numFmtId="2" fontId="0" fillId="0" borderId="0" xfId="0" applyNumberFormat="1"/>
    <xf numFmtId="2" fontId="6" fillId="0" borderId="0" xfId="0" applyNumberFormat="1" applyFont="1"/>
    <xf numFmtId="11" fontId="0" fillId="0" borderId="0" xfId="0" applyNumberFormat="1" applyAlignment="1">
      <alignment horizontal="center"/>
    </xf>
    <xf numFmtId="2" fontId="0" fillId="0" borderId="0" xfId="0" applyNumberFormat="1" applyAlignment="1">
      <alignment horizontal="center"/>
    </xf>
    <xf numFmtId="0" fontId="4" fillId="0" borderId="0" xfId="0" applyFont="1" applyAlignment="1">
      <alignment vertical="top" wrapText="1"/>
    </xf>
    <xf numFmtId="0" fontId="14" fillId="4" borderId="0" xfId="0" applyFont="1" applyFill="1" applyAlignment="1">
      <alignment horizontal="center" vertical="top" wrapText="1"/>
    </xf>
    <xf numFmtId="2" fontId="16" fillId="0" borderId="0" xfId="0" applyNumberFormat="1" applyFont="1"/>
    <xf numFmtId="0" fontId="16" fillId="0" borderId="0" xfId="0" applyFont="1"/>
    <xf numFmtId="0" fontId="16" fillId="0" borderId="7" xfId="0" applyFont="1" applyBorder="1"/>
    <xf numFmtId="0" fontId="16" fillId="0" borderId="5" xfId="0" applyFont="1" applyBorder="1"/>
    <xf numFmtId="2" fontId="16" fillId="0" borderId="5" xfId="0" applyNumberFormat="1" applyFont="1" applyBorder="1"/>
    <xf numFmtId="0" fontId="12" fillId="0" borderId="5" xfId="0" applyFont="1" applyBorder="1" applyAlignment="1">
      <alignment vertical="top" wrapText="1"/>
    </xf>
    <xf numFmtId="167" fontId="17" fillId="0" borderId="5" xfId="0" applyNumberFormat="1" applyFont="1" applyBorder="1" applyAlignment="1">
      <alignment horizontal="right"/>
    </xf>
    <xf numFmtId="0" fontId="0" fillId="0" borderId="5" xfId="0" applyBorder="1"/>
    <xf numFmtId="2" fontId="16" fillId="0" borderId="7" xfId="0" applyNumberFormat="1" applyFont="1" applyBorder="1"/>
    <xf numFmtId="0" fontId="12" fillId="0" borderId="7" xfId="0" applyFont="1" applyBorder="1" applyAlignment="1">
      <alignment vertical="top" wrapText="1"/>
    </xf>
    <xf numFmtId="167" fontId="17" fillId="0" borderId="7" xfId="0" applyNumberFormat="1" applyFont="1" applyBorder="1" applyAlignment="1">
      <alignment horizontal="right"/>
    </xf>
    <xf numFmtId="0" fontId="0" fillId="0" borderId="7" xfId="0" applyBorder="1"/>
    <xf numFmtId="0" fontId="16" fillId="0" borderId="8" xfId="0" applyFont="1" applyBorder="1"/>
    <xf numFmtId="2" fontId="16" fillId="0" borderId="8" xfId="0" applyNumberFormat="1" applyFont="1" applyBorder="1"/>
    <xf numFmtId="0" fontId="12" fillId="0" borderId="8" xfId="0" applyFont="1" applyBorder="1" applyAlignment="1">
      <alignment vertical="top" wrapText="1"/>
    </xf>
    <xf numFmtId="167" fontId="17" fillId="0" borderId="8" xfId="0" applyNumberFormat="1" applyFont="1" applyBorder="1" applyAlignment="1">
      <alignment horizontal="right"/>
    </xf>
    <xf numFmtId="0" fontId="0" fillId="0" borderId="8" xfId="0" applyBorder="1"/>
    <xf numFmtId="11" fontId="17" fillId="0" borderId="0" xfId="0" applyNumberFormat="1" applyFont="1" applyAlignment="1">
      <alignment horizontal="right"/>
    </xf>
    <xf numFmtId="167" fontId="6" fillId="0" borderId="5" xfId="0" applyNumberFormat="1" applyFont="1" applyBorder="1"/>
    <xf numFmtId="167" fontId="6" fillId="0" borderId="7" xfId="0" applyNumberFormat="1" applyFont="1" applyBorder="1"/>
    <xf numFmtId="0" fontId="6" fillId="0" borderId="0" xfId="0" applyFont="1"/>
    <xf numFmtId="2" fontId="17" fillId="0" borderId="0" xfId="0" applyNumberFormat="1" applyFont="1"/>
    <xf numFmtId="0" fontId="16" fillId="0" borderId="4" xfId="0" applyFont="1" applyBorder="1"/>
    <xf numFmtId="2" fontId="16" fillId="0" borderId="4" xfId="0" applyNumberFormat="1" applyFont="1" applyBorder="1"/>
    <xf numFmtId="0" fontId="12" fillId="0" borderId="4" xfId="0" applyFont="1" applyBorder="1" applyAlignment="1">
      <alignment vertical="top" wrapText="1"/>
    </xf>
    <xf numFmtId="0" fontId="0" fillId="0" borderId="4" xfId="0" applyBorder="1"/>
    <xf numFmtId="167" fontId="6" fillId="0" borderId="8" xfId="0" applyNumberFormat="1" applyFont="1" applyBorder="1"/>
    <xf numFmtId="0" fontId="6" fillId="0" borderId="8" xfId="0" applyFont="1" applyBorder="1"/>
    <xf numFmtId="0" fontId="6" fillId="0" borderId="0" xfId="0" applyFont="1" applyAlignment="1">
      <alignment horizontal="right"/>
    </xf>
    <xf numFmtId="11" fontId="17" fillId="0" borderId="7" xfId="0" applyNumberFormat="1" applyFont="1" applyBorder="1" applyAlignment="1">
      <alignment horizontal="right"/>
    </xf>
    <xf numFmtId="0" fontId="6" fillId="0" borderId="7" xfId="0" applyFont="1" applyBorder="1"/>
    <xf numFmtId="167" fontId="17" fillId="0" borderId="4" xfId="0" applyNumberFormat="1" applyFont="1" applyBorder="1" applyAlignment="1">
      <alignment horizontal="right"/>
    </xf>
    <xf numFmtId="0" fontId="18" fillId="0" borderId="0" xfId="0" applyFont="1"/>
    <xf numFmtId="0" fontId="20" fillId="0" borderId="0" xfId="2" applyFont="1"/>
    <xf numFmtId="0" fontId="12" fillId="0" borderId="0" xfId="2" applyFont="1"/>
    <xf numFmtId="0" fontId="19" fillId="0" borderId="0" xfId="2" applyFont="1"/>
    <xf numFmtId="10" fontId="20" fillId="0" borderId="0" xfId="2" applyNumberFormat="1" applyFont="1"/>
    <xf numFmtId="0" fontId="21" fillId="0" borderId="0" xfId="2" applyFont="1"/>
    <xf numFmtId="0" fontId="6" fillId="0" borderId="0" xfId="0" applyFont="1" applyAlignment="1">
      <alignment horizontal="left" vertical="top" wrapText="1"/>
    </xf>
    <xf numFmtId="0" fontId="4" fillId="0" borderId="0" xfId="0" applyFont="1" applyAlignment="1">
      <alignment horizontal="left" vertical="top" wrapText="1"/>
    </xf>
    <xf numFmtId="0" fontId="0" fillId="3" borderId="2" xfId="0" applyFill="1" applyBorder="1" applyAlignment="1">
      <alignment horizontal="left" vertical="top"/>
    </xf>
    <xf numFmtId="0" fontId="0" fillId="3" borderId="0" xfId="0" applyFill="1" applyAlignment="1">
      <alignment horizontal="left" vertical="top"/>
    </xf>
    <xf numFmtId="0" fontId="0" fillId="3" borderId="3" xfId="0" applyFill="1" applyBorder="1" applyAlignment="1">
      <alignment horizontal="left" vertical="top"/>
    </xf>
    <xf numFmtId="0" fontId="0" fillId="2" borderId="2" xfId="0" applyFill="1" applyBorder="1" applyAlignment="1">
      <alignment horizontal="left" vertical="top" wrapText="1"/>
    </xf>
    <xf numFmtId="0" fontId="0" fillId="2" borderId="0" xfId="0" applyFill="1" applyAlignment="1">
      <alignment horizontal="left" vertical="top" wrapText="1"/>
    </xf>
    <xf numFmtId="0" fontId="12" fillId="0" borderId="0" xfId="0" applyFont="1" applyAlignment="1">
      <alignment horizontal="left" vertical="top" wrapText="1"/>
    </xf>
    <xf numFmtId="0" fontId="6" fillId="0" borderId="0" xfId="0" applyFont="1" applyAlignment="1">
      <alignment horizontal="left"/>
    </xf>
    <xf numFmtId="1" fontId="18" fillId="0" borderId="0" xfId="0" applyNumberFormat="1" applyFont="1"/>
    <xf numFmtId="3" fontId="18" fillId="0" borderId="0" xfId="0" applyNumberFormat="1" applyFont="1"/>
    <xf numFmtId="0" fontId="17" fillId="0" borderId="0" xfId="0" applyFont="1" applyFill="1" applyBorder="1" applyAlignment="1">
      <alignment horizontal="left" vertical="top"/>
    </xf>
    <xf numFmtId="0" fontId="16" fillId="0" borderId="0" xfId="0" applyFont="1" applyFill="1" applyBorder="1" applyAlignment="1">
      <alignment horizontal="left" vertical="top" wrapText="1"/>
    </xf>
    <xf numFmtId="0" fontId="16" fillId="0" borderId="0" xfId="0" applyFont="1" applyFill="1" applyBorder="1"/>
    <xf numFmtId="3" fontId="16" fillId="0" borderId="0" xfId="0" applyNumberFormat="1" applyFont="1" applyFill="1" applyBorder="1"/>
    <xf numFmtId="10" fontId="16" fillId="0" borderId="0" xfId="0" applyNumberFormat="1" applyFont="1" applyFill="1" applyBorder="1"/>
    <xf numFmtId="0" fontId="16" fillId="0" borderId="0" xfId="0" applyFont="1" applyFill="1" applyBorder="1" applyAlignment="1">
      <alignment horizontal="right"/>
    </xf>
    <xf numFmtId="1" fontId="16" fillId="0" borderId="0" xfId="0" applyNumberFormat="1" applyFont="1" applyFill="1" applyBorder="1"/>
    <xf numFmtId="0" fontId="0" fillId="0" borderId="0" xfId="0" applyFont="1" applyFill="1" applyBorder="1"/>
    <xf numFmtId="0" fontId="24" fillId="0" borderId="0" xfId="0" applyFont="1" applyFill="1" applyBorder="1"/>
    <xf numFmtId="3" fontId="24" fillId="0" borderId="0" xfId="0" applyNumberFormat="1" applyFont="1" applyFill="1" applyBorder="1"/>
    <xf numFmtId="10" fontId="24" fillId="0" borderId="0" xfId="0" applyNumberFormat="1" applyFont="1" applyFill="1" applyBorder="1"/>
    <xf numFmtId="0" fontId="4" fillId="0" borderId="0" xfId="0" applyFont="1" applyFill="1" applyBorder="1" applyAlignment="1">
      <alignment horizontal="right"/>
    </xf>
    <xf numFmtId="1" fontId="24" fillId="0" borderId="0" xfId="0" applyNumberFormat="1" applyFont="1" applyFill="1" applyBorder="1"/>
    <xf numFmtId="0" fontId="16" fillId="0" borderId="0" xfId="0" applyFont="1" applyFill="1" applyBorder="1" applyAlignment="1"/>
    <xf numFmtId="0" fontId="16" fillId="0" borderId="0" xfId="2" applyFont="1"/>
    <xf numFmtId="0" fontId="17" fillId="0" borderId="0" xfId="2" applyFont="1" applyAlignment="1">
      <alignment horizontal="left" vertical="top"/>
    </xf>
    <xf numFmtId="0" fontId="16" fillId="0" borderId="0" xfId="2" applyFont="1" applyAlignment="1">
      <alignment horizontal="left" vertical="top" wrapText="1"/>
    </xf>
    <xf numFmtId="0" fontId="17" fillId="4" borderId="0" xfId="0" applyFont="1" applyFill="1" applyBorder="1"/>
    <xf numFmtId="0" fontId="17" fillId="4" borderId="0" xfId="0" applyFont="1" applyFill="1" applyBorder="1" applyAlignment="1"/>
    <xf numFmtId="0" fontId="14" fillId="4" borderId="0" xfId="2" applyFont="1" applyFill="1"/>
    <xf numFmtId="168" fontId="14" fillId="4" borderId="0" xfId="2" applyNumberFormat="1" applyFont="1" applyFill="1"/>
    <xf numFmtId="168" fontId="17" fillId="4" borderId="0" xfId="2" applyNumberFormat="1" applyFont="1" applyFill="1"/>
    <xf numFmtId="49" fontId="14" fillId="4" borderId="0" xfId="2" applyNumberFormat="1" applyFont="1" applyFill="1"/>
    <xf numFmtId="0" fontId="16" fillId="0" borderId="0" xfId="0" applyFont="1" applyAlignment="1">
      <alignment horizontal="center"/>
    </xf>
    <xf numFmtId="0" fontId="17" fillId="0" borderId="0" xfId="0" applyFont="1" applyAlignment="1">
      <alignment horizontal="center"/>
    </xf>
    <xf numFmtId="2" fontId="16" fillId="0" borderId="0" xfId="0" applyNumberFormat="1" applyFont="1" applyAlignment="1">
      <alignment horizontal="center"/>
    </xf>
    <xf numFmtId="0" fontId="23" fillId="0" borderId="0" xfId="0" applyFont="1" applyAlignment="1">
      <alignment horizontal="left" vertical="top" wrapText="1"/>
    </xf>
    <xf numFmtId="0" fontId="23" fillId="0" borderId="3" xfId="0" applyFont="1" applyBorder="1" applyAlignment="1">
      <alignment horizontal="left" vertical="top" wrapText="1"/>
    </xf>
    <xf numFmtId="0" fontId="23" fillId="0" borderId="6" xfId="0" applyFont="1" applyBorder="1"/>
    <xf numFmtId="0" fontId="26" fillId="0" borderId="6" xfId="0" applyFont="1" applyBorder="1"/>
    <xf numFmtId="0" fontId="23" fillId="0" borderId="0" xfId="0" applyFont="1"/>
    <xf numFmtId="0" fontId="26" fillId="0" borderId="0" xfId="0" applyFont="1"/>
    <xf numFmtId="0" fontId="27" fillId="4" borderId="6" xfId="0" applyFont="1" applyFill="1" applyBorder="1" applyAlignment="1">
      <alignment horizontal="center" vertical="center" wrapText="1"/>
    </xf>
    <xf numFmtId="0" fontId="27" fillId="4" borderId="6" xfId="0" applyFont="1" applyFill="1" applyBorder="1" applyAlignment="1">
      <alignment horizontal="left" vertical="center" wrapText="1"/>
    </xf>
    <xf numFmtId="0" fontId="22" fillId="0" borderId="0" xfId="0" applyFont="1" applyAlignment="1">
      <alignment horizontal="left" vertical="top" wrapText="1"/>
    </xf>
    <xf numFmtId="0" fontId="17" fillId="0" borderId="0" xfId="0" applyFont="1" applyAlignment="1">
      <alignment horizontal="left"/>
    </xf>
    <xf numFmtId="0" fontId="16" fillId="0" borderId="0" xfId="0" applyFont="1" applyAlignment="1">
      <alignment horizontal="left" vertical="top" wrapText="1"/>
    </xf>
    <xf numFmtId="0" fontId="16" fillId="0" borderId="2" xfId="0" applyFont="1" applyBorder="1"/>
    <xf numFmtId="0" fontId="16" fillId="0" borderId="3" xfId="0" applyFont="1" applyBorder="1"/>
    <xf numFmtId="0" fontId="16" fillId="2" borderId="0" xfId="0" applyFont="1" applyFill="1"/>
    <xf numFmtId="0" fontId="16" fillId="2" borderId="2" xfId="0" applyFont="1" applyFill="1" applyBorder="1"/>
    <xf numFmtId="0" fontId="16" fillId="2" borderId="3" xfId="0" applyFont="1" applyFill="1" applyBorder="1"/>
    <xf numFmtId="0" fontId="4" fillId="2" borderId="1" xfId="0" applyFont="1" applyFill="1" applyBorder="1"/>
  </cellXfs>
  <cellStyles count="4">
    <cellStyle name="Normal" xfId="0" builtinId="0"/>
    <cellStyle name="Normal 2" xfId="1" xr:uid="{653CB294-60E1-934A-B219-80BFA0046F95}"/>
    <cellStyle name="Normal 3" xfId="2" xr:uid="{ADE6A73F-9259-DF48-B335-7283FD4CB868}"/>
    <cellStyle name="Percent 2" xfId="3" xr:uid="{CA34B357-85F0-5C45-BF21-314B447D5AA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21E65-8A77-CE40-9644-E53F4892A3A5}">
  <dimension ref="A1:Z975"/>
  <sheetViews>
    <sheetView tabSelected="1" zoomScale="120" zoomScaleNormal="120" workbookViewId="0">
      <selection activeCell="G17" sqref="G17"/>
    </sheetView>
  </sheetViews>
  <sheetFormatPr baseColWidth="10" defaultRowHeight="16" x14ac:dyDescent="0.2"/>
  <cols>
    <col min="1" max="16384" width="10.83203125" style="31"/>
  </cols>
  <sheetData>
    <row r="1" spans="1:26" x14ac:dyDescent="0.2">
      <c r="A1" s="16" t="s">
        <v>210</v>
      </c>
      <c r="B1" s="17"/>
      <c r="C1" s="17"/>
      <c r="D1" s="17"/>
      <c r="E1" s="17"/>
      <c r="F1" s="17"/>
      <c r="G1" s="17"/>
      <c r="H1" s="17"/>
      <c r="I1" s="17"/>
      <c r="J1" s="17"/>
      <c r="K1" s="17"/>
      <c r="L1" s="17"/>
      <c r="M1" s="17"/>
      <c r="N1" s="17"/>
      <c r="O1" s="17"/>
      <c r="P1" s="17"/>
      <c r="Q1" s="17"/>
      <c r="R1" s="17"/>
      <c r="S1" s="17"/>
      <c r="T1" s="17"/>
      <c r="U1" s="17"/>
      <c r="V1" s="17"/>
      <c r="W1" s="17"/>
      <c r="X1" s="17"/>
      <c r="Y1" s="17"/>
      <c r="Z1" s="17"/>
    </row>
    <row r="2" spans="1:26" x14ac:dyDescent="0.2">
      <c r="A2" s="17"/>
      <c r="B2" s="17"/>
      <c r="C2" s="17"/>
      <c r="D2" s="17"/>
      <c r="E2" s="17"/>
      <c r="F2" s="17"/>
      <c r="G2" s="17"/>
      <c r="H2" s="17"/>
      <c r="I2" s="17"/>
      <c r="J2" s="17"/>
      <c r="K2" s="17"/>
      <c r="L2" s="17"/>
      <c r="M2" s="17"/>
      <c r="N2" s="17"/>
      <c r="O2" s="17"/>
      <c r="P2" s="17"/>
      <c r="Q2" s="17"/>
      <c r="R2" s="17"/>
      <c r="S2" s="17"/>
      <c r="T2" s="17"/>
      <c r="U2" s="17"/>
      <c r="V2" s="17"/>
      <c r="W2" s="17"/>
      <c r="X2" s="17"/>
      <c r="Y2" s="17"/>
      <c r="Z2" s="17"/>
    </row>
    <row r="3" spans="1:26" x14ac:dyDescent="0.2">
      <c r="A3" s="16" t="s">
        <v>376</v>
      </c>
      <c r="B3" s="17"/>
      <c r="C3" s="17"/>
      <c r="D3" s="17"/>
      <c r="E3" s="17"/>
      <c r="F3" s="17"/>
      <c r="G3" s="17"/>
      <c r="H3" s="17"/>
      <c r="I3" s="17"/>
      <c r="J3" s="17"/>
      <c r="K3" s="17"/>
      <c r="L3" s="17"/>
      <c r="M3" s="17"/>
      <c r="N3" s="17"/>
      <c r="O3" s="17"/>
      <c r="P3" s="17"/>
      <c r="Q3" s="17"/>
      <c r="R3" s="17"/>
      <c r="S3" s="17"/>
      <c r="T3" s="17"/>
      <c r="U3" s="17"/>
      <c r="V3" s="17"/>
      <c r="W3" s="17"/>
      <c r="X3" s="17"/>
      <c r="Y3" s="17"/>
      <c r="Z3" s="17"/>
    </row>
    <row r="4" spans="1:26" x14ac:dyDescent="0.2">
      <c r="A4" s="17" t="s">
        <v>369</v>
      </c>
      <c r="B4" s="17"/>
      <c r="C4" s="17"/>
      <c r="D4" s="17"/>
      <c r="E4" s="17"/>
      <c r="F4" s="17"/>
      <c r="G4" s="17"/>
      <c r="H4" s="17"/>
      <c r="I4" s="17"/>
      <c r="J4" s="17"/>
      <c r="K4" s="17"/>
      <c r="L4" s="17"/>
      <c r="M4" s="17"/>
      <c r="N4" s="17"/>
      <c r="O4" s="17"/>
      <c r="P4" s="17"/>
      <c r="Q4" s="17"/>
      <c r="R4" s="17"/>
      <c r="S4" s="17"/>
      <c r="T4" s="17"/>
      <c r="U4" s="17"/>
      <c r="V4" s="17"/>
      <c r="W4" s="17"/>
      <c r="X4" s="17"/>
      <c r="Y4" s="17"/>
      <c r="Z4" s="17"/>
    </row>
    <row r="5" spans="1:26"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x14ac:dyDescent="0.2">
      <c r="A6" s="21" t="s">
        <v>224</v>
      </c>
      <c r="B6" s="17"/>
      <c r="C6" s="17"/>
      <c r="D6" s="17"/>
      <c r="E6" s="17"/>
      <c r="F6" s="17"/>
      <c r="G6" s="17"/>
      <c r="H6" s="17"/>
      <c r="I6" s="17"/>
      <c r="J6" s="17"/>
      <c r="K6" s="17"/>
      <c r="L6" s="17"/>
      <c r="M6" s="17"/>
      <c r="N6" s="17"/>
      <c r="O6" s="17"/>
      <c r="P6" s="17"/>
      <c r="Q6" s="17"/>
      <c r="R6" s="17"/>
      <c r="S6" s="17"/>
      <c r="T6" s="17"/>
      <c r="U6" s="17"/>
      <c r="V6" s="17"/>
      <c r="W6" s="17"/>
      <c r="X6" s="17"/>
      <c r="Y6" s="17"/>
      <c r="Z6" s="17"/>
    </row>
    <row r="7" spans="1:26" x14ac:dyDescent="0.2">
      <c r="A7" s="21" t="s">
        <v>225</v>
      </c>
      <c r="B7" s="17"/>
      <c r="C7" s="17"/>
      <c r="D7" s="17"/>
      <c r="E7" s="17"/>
      <c r="F7" s="17"/>
      <c r="G7" s="17"/>
      <c r="H7" s="17"/>
      <c r="I7" s="17"/>
      <c r="J7" s="17"/>
      <c r="K7" s="17"/>
      <c r="L7" s="17"/>
      <c r="M7" s="17"/>
      <c r="N7" s="17"/>
      <c r="O7" s="17"/>
      <c r="P7" s="17"/>
      <c r="Q7" s="17"/>
      <c r="R7" s="17"/>
      <c r="S7" s="17"/>
      <c r="T7" s="17"/>
      <c r="U7" s="17"/>
      <c r="V7" s="17"/>
      <c r="W7" s="17"/>
      <c r="X7" s="17"/>
      <c r="Y7" s="17"/>
      <c r="Z7" s="17"/>
    </row>
    <row r="8" spans="1:26" x14ac:dyDescent="0.2">
      <c r="A8" s="21" t="s">
        <v>223</v>
      </c>
      <c r="B8" s="17"/>
      <c r="C8" s="17"/>
      <c r="D8" s="17"/>
      <c r="E8" s="17"/>
      <c r="F8" s="17"/>
      <c r="G8" s="17"/>
      <c r="H8" s="17"/>
      <c r="I8" s="17"/>
      <c r="J8" s="17"/>
      <c r="K8" s="17"/>
      <c r="L8" s="17"/>
      <c r="M8" s="17"/>
      <c r="N8" s="17"/>
      <c r="O8" s="17"/>
      <c r="P8" s="17"/>
      <c r="Q8" s="17"/>
      <c r="R8" s="17"/>
      <c r="S8" s="17"/>
      <c r="T8" s="17"/>
      <c r="U8" s="17"/>
      <c r="V8" s="17"/>
      <c r="W8" s="17"/>
      <c r="X8" s="17"/>
      <c r="Y8" s="17"/>
      <c r="Z8" s="17"/>
    </row>
    <row r="9" spans="1:26" x14ac:dyDescent="0.2">
      <c r="A9" s="21" t="s">
        <v>366</v>
      </c>
      <c r="B9" s="17"/>
      <c r="C9" s="17"/>
      <c r="D9" s="17"/>
      <c r="E9" s="17"/>
      <c r="F9" s="17"/>
      <c r="G9" s="17"/>
      <c r="H9" s="17"/>
      <c r="I9" s="17"/>
      <c r="J9" s="17"/>
      <c r="K9" s="17"/>
      <c r="L9" s="17"/>
      <c r="M9" s="17"/>
      <c r="N9" s="17"/>
      <c r="O9" s="17"/>
      <c r="P9" s="17"/>
      <c r="Q9" s="17"/>
      <c r="R9" s="17"/>
      <c r="S9" s="17"/>
      <c r="T9" s="17"/>
      <c r="U9" s="17"/>
      <c r="V9" s="17"/>
      <c r="W9" s="17"/>
      <c r="X9" s="17"/>
      <c r="Y9" s="17"/>
      <c r="Z9" s="17"/>
    </row>
    <row r="10" spans="1:26" x14ac:dyDescent="0.2">
      <c r="A10" s="21" t="s">
        <v>367</v>
      </c>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spans="1:26" x14ac:dyDescent="0.2">
      <c r="A11" s="21" t="s">
        <v>368</v>
      </c>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spans="1:26" x14ac:dyDescent="0.2">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spans="1:26" x14ac:dyDescent="0.2">
      <c r="A13" s="17" t="s">
        <v>211</v>
      </c>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spans="1:26" x14ac:dyDescent="0.2">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spans="1:26" x14ac:dyDescent="0.2">
      <c r="A15" s="17" t="s">
        <v>212</v>
      </c>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spans="1:26" x14ac:dyDescent="0.2">
      <c r="A16" s="17" t="s">
        <v>213</v>
      </c>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spans="1:26" x14ac:dyDescent="0.2">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spans="1:26" x14ac:dyDescent="0.2">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spans="1:26" ht="18" x14ac:dyDescent="0.2">
      <c r="A19" s="18" t="s">
        <v>357</v>
      </c>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spans="1:26" x14ac:dyDescent="0.2">
      <c r="A20" s="17" t="s">
        <v>358</v>
      </c>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spans="1:26" x14ac:dyDescent="0.2">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spans="1:26" ht="18" x14ac:dyDescent="0.2">
      <c r="A22" s="18" t="s">
        <v>359</v>
      </c>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spans="1:26" x14ac:dyDescent="0.2">
      <c r="A23" s="17" t="s">
        <v>360</v>
      </c>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spans="1:26" x14ac:dyDescent="0.2">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spans="1:26" ht="18" x14ac:dyDescent="0.2">
      <c r="A25" s="18" t="s">
        <v>361</v>
      </c>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spans="1:26" x14ac:dyDescent="0.2">
      <c r="A26" s="17" t="s">
        <v>362</v>
      </c>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1:26" x14ac:dyDescent="0.2">
      <c r="A27" s="17" t="s">
        <v>363</v>
      </c>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1:26" x14ac:dyDescent="0.2">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ht="18" x14ac:dyDescent="0.2">
      <c r="A29" s="18" t="s">
        <v>364</v>
      </c>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x14ac:dyDescent="0.2">
      <c r="A30" s="17" t="s">
        <v>349</v>
      </c>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x14ac:dyDescent="0.2">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ht="18" x14ac:dyDescent="0.2">
      <c r="A32" s="18" t="s">
        <v>365</v>
      </c>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x14ac:dyDescent="0.2">
      <c r="A33" s="17" t="s">
        <v>350</v>
      </c>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x14ac:dyDescent="0.2">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ht="18" x14ac:dyDescent="0.2">
      <c r="A35" s="18" t="s">
        <v>370</v>
      </c>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x14ac:dyDescent="0.2">
      <c r="A36" s="17" t="s">
        <v>351</v>
      </c>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x14ac:dyDescent="0.2">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ht="18" x14ac:dyDescent="0.2">
      <c r="A38" s="18" t="s">
        <v>371</v>
      </c>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x14ac:dyDescent="0.2">
      <c r="A39" s="17" t="s">
        <v>372</v>
      </c>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x14ac:dyDescent="0.2">
      <c r="A40" s="17" t="s">
        <v>373</v>
      </c>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x14ac:dyDescent="0.2">
      <c r="A41" s="17" t="s">
        <v>374</v>
      </c>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x14ac:dyDescent="0.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ht="18" x14ac:dyDescent="0.2">
      <c r="A43" s="18" t="s">
        <v>226</v>
      </c>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x14ac:dyDescent="0.2">
      <c r="A44" s="17" t="s">
        <v>356</v>
      </c>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x14ac:dyDescent="0.2">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ht="18" x14ac:dyDescent="0.2">
      <c r="A46" s="18" t="s">
        <v>375</v>
      </c>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x14ac:dyDescent="0.2">
      <c r="A47" s="17" t="s">
        <v>355</v>
      </c>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x14ac:dyDescent="0.2">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x14ac:dyDescent="0.2">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x14ac:dyDescent="0.2">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x14ac:dyDescent="0.2">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x14ac:dyDescent="0.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x14ac:dyDescent="0.2">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x14ac:dyDescent="0.2">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x14ac:dyDescent="0.2">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x14ac:dyDescent="0.2">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x14ac:dyDescent="0.2">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x14ac:dyDescent="0.2">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x14ac:dyDescent="0.2">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x14ac:dyDescent="0.2">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x14ac:dyDescent="0.2">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x14ac:dyDescent="0.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x14ac:dyDescent="0.2">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x14ac:dyDescent="0.2">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x14ac:dyDescent="0.2">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x14ac:dyDescent="0.2">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x14ac:dyDescent="0.2">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x14ac:dyDescent="0.2">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x14ac:dyDescent="0.2">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x14ac:dyDescent="0.2">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x14ac:dyDescent="0.2">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x14ac:dyDescent="0.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x14ac:dyDescent="0.2">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x14ac:dyDescent="0.2">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x14ac:dyDescent="0.2">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x14ac:dyDescent="0.2">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x14ac:dyDescent="0.2">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x14ac:dyDescent="0.2">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x14ac:dyDescent="0.2">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x14ac:dyDescent="0.2">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x14ac:dyDescent="0.2">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x14ac:dyDescent="0.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x14ac:dyDescent="0.2">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x14ac:dyDescent="0.2">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x14ac:dyDescent="0.2">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x14ac:dyDescent="0.2">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x14ac:dyDescent="0.2">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x14ac:dyDescent="0.2">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x14ac:dyDescent="0.2">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x14ac:dyDescent="0.2">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x14ac:dyDescent="0.2">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x14ac:dyDescent="0.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x14ac:dyDescent="0.2">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x14ac:dyDescent="0.2">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x14ac:dyDescent="0.2">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x14ac:dyDescent="0.2">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x14ac:dyDescent="0.2">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x14ac:dyDescent="0.2">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x14ac:dyDescent="0.2">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x14ac:dyDescent="0.2">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x14ac:dyDescent="0.2">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x14ac:dyDescent="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x14ac:dyDescent="0.2">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x14ac:dyDescent="0.2">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x14ac:dyDescent="0.2">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x14ac:dyDescent="0.2">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x14ac:dyDescent="0.2">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x14ac:dyDescent="0.2">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x14ac:dyDescent="0.2">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x14ac:dyDescent="0.2">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x14ac:dyDescent="0.2">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x14ac:dyDescent="0.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x14ac:dyDescent="0.2">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x14ac:dyDescent="0.2">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x14ac:dyDescent="0.2">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x14ac:dyDescent="0.2">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x14ac:dyDescent="0.2">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x14ac:dyDescent="0.2">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x14ac:dyDescent="0.2">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x14ac:dyDescent="0.2">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x14ac:dyDescent="0.2">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x14ac:dyDescent="0.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x14ac:dyDescent="0.2">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x14ac:dyDescent="0.2">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x14ac:dyDescent="0.2">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x14ac:dyDescent="0.2">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x14ac:dyDescent="0.2">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x14ac:dyDescent="0.2">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x14ac:dyDescent="0.2">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x14ac:dyDescent="0.2">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x14ac:dyDescent="0.2">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x14ac:dyDescent="0.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x14ac:dyDescent="0.2">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x14ac:dyDescent="0.2">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x14ac:dyDescent="0.2">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x14ac:dyDescent="0.2">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x14ac:dyDescent="0.2">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x14ac:dyDescent="0.2">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x14ac:dyDescent="0.2">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x14ac:dyDescent="0.2">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x14ac:dyDescent="0.2">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x14ac:dyDescent="0.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x14ac:dyDescent="0.2">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x14ac:dyDescent="0.2">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x14ac:dyDescent="0.2">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x14ac:dyDescent="0.2">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x14ac:dyDescent="0.2">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x14ac:dyDescent="0.2">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x14ac:dyDescent="0.2">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x14ac:dyDescent="0.2">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x14ac:dyDescent="0.2">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x14ac:dyDescent="0.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x14ac:dyDescent="0.2">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x14ac:dyDescent="0.2">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x14ac:dyDescent="0.2">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x14ac:dyDescent="0.2">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x14ac:dyDescent="0.2">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x14ac:dyDescent="0.2">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x14ac:dyDescent="0.2">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x14ac:dyDescent="0.2">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x14ac:dyDescent="0.2">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x14ac:dyDescent="0.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x14ac:dyDescent="0.2">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x14ac:dyDescent="0.2">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x14ac:dyDescent="0.2">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x14ac:dyDescent="0.2">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x14ac:dyDescent="0.2">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x14ac:dyDescent="0.2">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x14ac:dyDescent="0.2">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x14ac:dyDescent="0.2">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x14ac:dyDescent="0.2">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x14ac:dyDescent="0.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x14ac:dyDescent="0.2">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x14ac:dyDescent="0.2">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x14ac:dyDescent="0.2">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x14ac:dyDescent="0.2">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x14ac:dyDescent="0.2">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x14ac:dyDescent="0.2">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x14ac:dyDescent="0.2">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x14ac:dyDescent="0.2">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x14ac:dyDescent="0.2">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x14ac:dyDescent="0.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x14ac:dyDescent="0.2">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x14ac:dyDescent="0.2">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x14ac:dyDescent="0.2">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x14ac:dyDescent="0.2">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x14ac:dyDescent="0.2">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x14ac:dyDescent="0.2">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x14ac:dyDescent="0.2">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x14ac:dyDescent="0.2">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x14ac:dyDescent="0.2">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x14ac:dyDescent="0.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x14ac:dyDescent="0.2">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x14ac:dyDescent="0.2">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x14ac:dyDescent="0.2">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x14ac:dyDescent="0.2">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x14ac:dyDescent="0.2">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x14ac:dyDescent="0.2">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x14ac:dyDescent="0.2">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x14ac:dyDescent="0.2">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x14ac:dyDescent="0.2">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x14ac:dyDescent="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x14ac:dyDescent="0.2">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x14ac:dyDescent="0.2">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x14ac:dyDescent="0.2">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x14ac:dyDescent="0.2">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x14ac:dyDescent="0.2">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x14ac:dyDescent="0.2">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x14ac:dyDescent="0.2">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x14ac:dyDescent="0.2">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x14ac:dyDescent="0.2">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x14ac:dyDescent="0.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x14ac:dyDescent="0.2">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x14ac:dyDescent="0.2">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x14ac:dyDescent="0.2">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x14ac:dyDescent="0.2">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x14ac:dyDescent="0.2">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x14ac:dyDescent="0.2">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x14ac:dyDescent="0.2">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x14ac:dyDescent="0.2">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x14ac:dyDescent="0.2">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x14ac:dyDescent="0.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x14ac:dyDescent="0.2">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x14ac:dyDescent="0.2">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x14ac:dyDescent="0.2">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x14ac:dyDescent="0.2">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x14ac:dyDescent="0.2">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x14ac:dyDescent="0.2">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x14ac:dyDescent="0.2">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x14ac:dyDescent="0.2">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x14ac:dyDescent="0.2">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x14ac:dyDescent="0.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x14ac:dyDescent="0.2">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x14ac:dyDescent="0.2">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x14ac:dyDescent="0.2">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x14ac:dyDescent="0.2">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x14ac:dyDescent="0.2">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x14ac:dyDescent="0.2">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x14ac:dyDescent="0.2">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x14ac:dyDescent="0.2">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x14ac:dyDescent="0.2">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x14ac:dyDescent="0.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x14ac:dyDescent="0.2">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x14ac:dyDescent="0.2">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x14ac:dyDescent="0.2">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x14ac:dyDescent="0.2">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x14ac:dyDescent="0.2">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x14ac:dyDescent="0.2">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x14ac:dyDescent="0.2">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x14ac:dyDescent="0.2">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x14ac:dyDescent="0.2">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x14ac:dyDescent="0.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x14ac:dyDescent="0.2">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x14ac:dyDescent="0.2">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x14ac:dyDescent="0.2">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x14ac:dyDescent="0.2">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x14ac:dyDescent="0.2">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x14ac:dyDescent="0.2">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x14ac:dyDescent="0.2">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x14ac:dyDescent="0.2">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x14ac:dyDescent="0.2">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x14ac:dyDescent="0.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x14ac:dyDescent="0.2">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x14ac:dyDescent="0.2">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x14ac:dyDescent="0.2">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x14ac:dyDescent="0.2">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x14ac:dyDescent="0.2">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x14ac:dyDescent="0.2">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x14ac:dyDescent="0.2">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x14ac:dyDescent="0.2">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x14ac:dyDescent="0.2">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x14ac:dyDescent="0.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x14ac:dyDescent="0.2">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x14ac:dyDescent="0.2">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x14ac:dyDescent="0.2">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x14ac:dyDescent="0.2">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x14ac:dyDescent="0.2">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x14ac:dyDescent="0.2">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x14ac:dyDescent="0.2">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x14ac:dyDescent="0.2">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x14ac:dyDescent="0.2">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x14ac:dyDescent="0.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x14ac:dyDescent="0.2">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x14ac:dyDescent="0.2">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x14ac:dyDescent="0.2">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x14ac:dyDescent="0.2">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x14ac:dyDescent="0.2">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x14ac:dyDescent="0.2">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x14ac:dyDescent="0.2">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x14ac:dyDescent="0.2">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x14ac:dyDescent="0.2">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x14ac:dyDescent="0.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x14ac:dyDescent="0.2">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x14ac:dyDescent="0.2">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x14ac:dyDescent="0.2">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x14ac:dyDescent="0.2">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x14ac:dyDescent="0.2">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x14ac:dyDescent="0.2">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x14ac:dyDescent="0.2">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x14ac:dyDescent="0.2">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x14ac:dyDescent="0.2">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x14ac:dyDescent="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x14ac:dyDescent="0.2">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x14ac:dyDescent="0.2">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x14ac:dyDescent="0.2">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x14ac:dyDescent="0.2">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x14ac:dyDescent="0.2">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x14ac:dyDescent="0.2">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x14ac:dyDescent="0.2">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x14ac:dyDescent="0.2">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x14ac:dyDescent="0.2">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x14ac:dyDescent="0.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x14ac:dyDescent="0.2">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x14ac:dyDescent="0.2">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x14ac:dyDescent="0.2">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x14ac:dyDescent="0.2">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x14ac:dyDescent="0.2">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x14ac:dyDescent="0.2">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x14ac:dyDescent="0.2">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x14ac:dyDescent="0.2">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x14ac:dyDescent="0.2">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x14ac:dyDescent="0.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x14ac:dyDescent="0.2">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x14ac:dyDescent="0.2">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x14ac:dyDescent="0.2">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x14ac:dyDescent="0.2">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x14ac:dyDescent="0.2">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x14ac:dyDescent="0.2">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x14ac:dyDescent="0.2">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x14ac:dyDescent="0.2">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x14ac:dyDescent="0.2">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x14ac:dyDescent="0.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x14ac:dyDescent="0.2">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x14ac:dyDescent="0.2">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x14ac:dyDescent="0.2">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x14ac:dyDescent="0.2">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x14ac:dyDescent="0.2">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x14ac:dyDescent="0.2">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x14ac:dyDescent="0.2">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x14ac:dyDescent="0.2">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x14ac:dyDescent="0.2">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x14ac:dyDescent="0.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x14ac:dyDescent="0.2">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x14ac:dyDescent="0.2">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x14ac:dyDescent="0.2">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x14ac:dyDescent="0.2">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x14ac:dyDescent="0.2">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x14ac:dyDescent="0.2">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x14ac:dyDescent="0.2">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x14ac:dyDescent="0.2">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x14ac:dyDescent="0.2">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x14ac:dyDescent="0.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x14ac:dyDescent="0.2">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x14ac:dyDescent="0.2">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x14ac:dyDescent="0.2">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x14ac:dyDescent="0.2">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x14ac:dyDescent="0.2">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x14ac:dyDescent="0.2">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x14ac:dyDescent="0.2">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x14ac:dyDescent="0.2">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x14ac:dyDescent="0.2">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x14ac:dyDescent="0.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x14ac:dyDescent="0.2">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x14ac:dyDescent="0.2">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x14ac:dyDescent="0.2">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x14ac:dyDescent="0.2">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x14ac:dyDescent="0.2">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x14ac:dyDescent="0.2">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x14ac:dyDescent="0.2">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x14ac:dyDescent="0.2">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x14ac:dyDescent="0.2">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x14ac:dyDescent="0.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x14ac:dyDescent="0.2">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x14ac:dyDescent="0.2">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x14ac:dyDescent="0.2">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x14ac:dyDescent="0.2">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x14ac:dyDescent="0.2">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x14ac:dyDescent="0.2">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x14ac:dyDescent="0.2">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x14ac:dyDescent="0.2">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x14ac:dyDescent="0.2">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x14ac:dyDescent="0.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x14ac:dyDescent="0.2">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x14ac:dyDescent="0.2">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x14ac:dyDescent="0.2">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x14ac:dyDescent="0.2">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x14ac:dyDescent="0.2">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x14ac:dyDescent="0.2">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x14ac:dyDescent="0.2">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x14ac:dyDescent="0.2">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x14ac:dyDescent="0.2">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x14ac:dyDescent="0.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x14ac:dyDescent="0.2">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x14ac:dyDescent="0.2">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x14ac:dyDescent="0.2">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x14ac:dyDescent="0.2">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x14ac:dyDescent="0.2">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x14ac:dyDescent="0.2">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x14ac:dyDescent="0.2">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x14ac:dyDescent="0.2">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x14ac:dyDescent="0.2">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x14ac:dyDescent="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x14ac:dyDescent="0.2">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x14ac:dyDescent="0.2">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x14ac:dyDescent="0.2">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x14ac:dyDescent="0.2">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x14ac:dyDescent="0.2">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x14ac:dyDescent="0.2">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x14ac:dyDescent="0.2">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x14ac:dyDescent="0.2">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x14ac:dyDescent="0.2">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x14ac:dyDescent="0.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x14ac:dyDescent="0.2">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x14ac:dyDescent="0.2">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x14ac:dyDescent="0.2">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x14ac:dyDescent="0.2">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x14ac:dyDescent="0.2">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x14ac:dyDescent="0.2">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x14ac:dyDescent="0.2">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x14ac:dyDescent="0.2">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x14ac:dyDescent="0.2">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x14ac:dyDescent="0.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x14ac:dyDescent="0.2">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x14ac:dyDescent="0.2">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x14ac:dyDescent="0.2">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x14ac:dyDescent="0.2">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x14ac:dyDescent="0.2">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x14ac:dyDescent="0.2">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x14ac:dyDescent="0.2">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x14ac:dyDescent="0.2">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x14ac:dyDescent="0.2">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x14ac:dyDescent="0.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x14ac:dyDescent="0.2">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x14ac:dyDescent="0.2">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x14ac:dyDescent="0.2">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x14ac:dyDescent="0.2">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x14ac:dyDescent="0.2">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x14ac:dyDescent="0.2">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x14ac:dyDescent="0.2">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x14ac:dyDescent="0.2">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x14ac:dyDescent="0.2">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x14ac:dyDescent="0.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x14ac:dyDescent="0.2">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x14ac:dyDescent="0.2">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x14ac:dyDescent="0.2">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x14ac:dyDescent="0.2">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x14ac:dyDescent="0.2">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x14ac:dyDescent="0.2">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x14ac:dyDescent="0.2">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x14ac:dyDescent="0.2">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x14ac:dyDescent="0.2">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x14ac:dyDescent="0.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x14ac:dyDescent="0.2">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x14ac:dyDescent="0.2">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x14ac:dyDescent="0.2">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x14ac:dyDescent="0.2">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x14ac:dyDescent="0.2">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x14ac:dyDescent="0.2">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x14ac:dyDescent="0.2">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x14ac:dyDescent="0.2">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x14ac:dyDescent="0.2">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x14ac:dyDescent="0.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x14ac:dyDescent="0.2">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x14ac:dyDescent="0.2">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x14ac:dyDescent="0.2">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x14ac:dyDescent="0.2">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x14ac:dyDescent="0.2">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x14ac:dyDescent="0.2">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x14ac:dyDescent="0.2">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x14ac:dyDescent="0.2">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x14ac:dyDescent="0.2">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x14ac:dyDescent="0.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x14ac:dyDescent="0.2">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x14ac:dyDescent="0.2">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x14ac:dyDescent="0.2">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x14ac:dyDescent="0.2">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x14ac:dyDescent="0.2">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x14ac:dyDescent="0.2">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x14ac:dyDescent="0.2">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x14ac:dyDescent="0.2">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x14ac:dyDescent="0.2">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x14ac:dyDescent="0.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x14ac:dyDescent="0.2">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x14ac:dyDescent="0.2">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x14ac:dyDescent="0.2">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x14ac:dyDescent="0.2">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x14ac:dyDescent="0.2">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x14ac:dyDescent="0.2">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x14ac:dyDescent="0.2">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x14ac:dyDescent="0.2">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x14ac:dyDescent="0.2">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x14ac:dyDescent="0.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x14ac:dyDescent="0.2">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x14ac:dyDescent="0.2">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x14ac:dyDescent="0.2">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x14ac:dyDescent="0.2">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x14ac:dyDescent="0.2">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x14ac:dyDescent="0.2">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x14ac:dyDescent="0.2">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x14ac:dyDescent="0.2">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x14ac:dyDescent="0.2">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x14ac:dyDescent="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x14ac:dyDescent="0.2">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x14ac:dyDescent="0.2">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x14ac:dyDescent="0.2">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x14ac:dyDescent="0.2">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x14ac:dyDescent="0.2">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x14ac:dyDescent="0.2">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x14ac:dyDescent="0.2">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x14ac:dyDescent="0.2">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x14ac:dyDescent="0.2">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x14ac:dyDescent="0.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x14ac:dyDescent="0.2">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x14ac:dyDescent="0.2">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x14ac:dyDescent="0.2">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x14ac:dyDescent="0.2">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x14ac:dyDescent="0.2">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x14ac:dyDescent="0.2">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x14ac:dyDescent="0.2">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x14ac:dyDescent="0.2">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x14ac:dyDescent="0.2">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x14ac:dyDescent="0.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x14ac:dyDescent="0.2">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x14ac:dyDescent="0.2">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x14ac:dyDescent="0.2">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x14ac:dyDescent="0.2">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x14ac:dyDescent="0.2">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x14ac:dyDescent="0.2">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x14ac:dyDescent="0.2">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x14ac:dyDescent="0.2">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x14ac:dyDescent="0.2">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x14ac:dyDescent="0.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x14ac:dyDescent="0.2">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x14ac:dyDescent="0.2">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x14ac:dyDescent="0.2">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x14ac:dyDescent="0.2">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x14ac:dyDescent="0.2">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x14ac:dyDescent="0.2">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x14ac:dyDescent="0.2">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x14ac:dyDescent="0.2">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x14ac:dyDescent="0.2">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x14ac:dyDescent="0.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x14ac:dyDescent="0.2">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x14ac:dyDescent="0.2">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x14ac:dyDescent="0.2">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x14ac:dyDescent="0.2">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x14ac:dyDescent="0.2">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x14ac:dyDescent="0.2">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x14ac:dyDescent="0.2">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x14ac:dyDescent="0.2">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x14ac:dyDescent="0.2">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x14ac:dyDescent="0.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x14ac:dyDescent="0.2">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x14ac:dyDescent="0.2">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x14ac:dyDescent="0.2">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x14ac:dyDescent="0.2">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x14ac:dyDescent="0.2">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x14ac:dyDescent="0.2">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x14ac:dyDescent="0.2">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x14ac:dyDescent="0.2">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x14ac:dyDescent="0.2">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x14ac:dyDescent="0.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x14ac:dyDescent="0.2">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x14ac:dyDescent="0.2">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x14ac:dyDescent="0.2">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x14ac:dyDescent="0.2">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x14ac:dyDescent="0.2">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x14ac:dyDescent="0.2">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x14ac:dyDescent="0.2">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x14ac:dyDescent="0.2">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x14ac:dyDescent="0.2">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x14ac:dyDescent="0.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x14ac:dyDescent="0.2">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x14ac:dyDescent="0.2">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x14ac:dyDescent="0.2">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x14ac:dyDescent="0.2">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x14ac:dyDescent="0.2">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x14ac:dyDescent="0.2">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x14ac:dyDescent="0.2">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x14ac:dyDescent="0.2">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x14ac:dyDescent="0.2">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x14ac:dyDescent="0.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x14ac:dyDescent="0.2">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x14ac:dyDescent="0.2">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x14ac:dyDescent="0.2">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x14ac:dyDescent="0.2">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x14ac:dyDescent="0.2">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x14ac:dyDescent="0.2">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x14ac:dyDescent="0.2">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x14ac:dyDescent="0.2">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x14ac:dyDescent="0.2">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x14ac:dyDescent="0.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x14ac:dyDescent="0.2">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x14ac:dyDescent="0.2">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x14ac:dyDescent="0.2">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x14ac:dyDescent="0.2">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x14ac:dyDescent="0.2">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x14ac:dyDescent="0.2">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x14ac:dyDescent="0.2">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x14ac:dyDescent="0.2">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x14ac:dyDescent="0.2">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x14ac:dyDescent="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x14ac:dyDescent="0.2">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x14ac:dyDescent="0.2">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x14ac:dyDescent="0.2">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x14ac:dyDescent="0.2">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x14ac:dyDescent="0.2">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x14ac:dyDescent="0.2">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x14ac:dyDescent="0.2">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x14ac:dyDescent="0.2">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x14ac:dyDescent="0.2">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x14ac:dyDescent="0.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x14ac:dyDescent="0.2">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x14ac:dyDescent="0.2">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x14ac:dyDescent="0.2">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x14ac:dyDescent="0.2">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x14ac:dyDescent="0.2">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x14ac:dyDescent="0.2">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x14ac:dyDescent="0.2">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x14ac:dyDescent="0.2">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x14ac:dyDescent="0.2">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x14ac:dyDescent="0.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x14ac:dyDescent="0.2">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x14ac:dyDescent="0.2">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x14ac:dyDescent="0.2">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x14ac:dyDescent="0.2">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x14ac:dyDescent="0.2">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x14ac:dyDescent="0.2">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x14ac:dyDescent="0.2">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x14ac:dyDescent="0.2">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x14ac:dyDescent="0.2">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x14ac:dyDescent="0.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x14ac:dyDescent="0.2">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x14ac:dyDescent="0.2">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x14ac:dyDescent="0.2">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x14ac:dyDescent="0.2">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x14ac:dyDescent="0.2">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x14ac:dyDescent="0.2">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x14ac:dyDescent="0.2">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x14ac:dyDescent="0.2">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x14ac:dyDescent="0.2">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x14ac:dyDescent="0.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x14ac:dyDescent="0.2">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x14ac:dyDescent="0.2">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x14ac:dyDescent="0.2">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x14ac:dyDescent="0.2">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x14ac:dyDescent="0.2">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x14ac:dyDescent="0.2">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x14ac:dyDescent="0.2">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x14ac:dyDescent="0.2">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x14ac:dyDescent="0.2">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x14ac:dyDescent="0.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x14ac:dyDescent="0.2">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x14ac:dyDescent="0.2">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x14ac:dyDescent="0.2">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x14ac:dyDescent="0.2">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x14ac:dyDescent="0.2">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x14ac:dyDescent="0.2">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x14ac:dyDescent="0.2">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x14ac:dyDescent="0.2">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x14ac:dyDescent="0.2">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x14ac:dyDescent="0.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x14ac:dyDescent="0.2">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x14ac:dyDescent="0.2">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x14ac:dyDescent="0.2">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x14ac:dyDescent="0.2">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x14ac:dyDescent="0.2">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x14ac:dyDescent="0.2">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x14ac:dyDescent="0.2">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x14ac:dyDescent="0.2">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x14ac:dyDescent="0.2">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x14ac:dyDescent="0.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x14ac:dyDescent="0.2">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x14ac:dyDescent="0.2">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x14ac:dyDescent="0.2">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x14ac:dyDescent="0.2">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x14ac:dyDescent="0.2">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x14ac:dyDescent="0.2">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x14ac:dyDescent="0.2">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x14ac:dyDescent="0.2">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x14ac:dyDescent="0.2">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x14ac:dyDescent="0.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x14ac:dyDescent="0.2">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x14ac:dyDescent="0.2">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x14ac:dyDescent="0.2">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x14ac:dyDescent="0.2">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x14ac:dyDescent="0.2">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x14ac:dyDescent="0.2">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x14ac:dyDescent="0.2">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x14ac:dyDescent="0.2">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x14ac:dyDescent="0.2">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x14ac:dyDescent="0.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x14ac:dyDescent="0.2">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x14ac:dyDescent="0.2">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x14ac:dyDescent="0.2">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x14ac:dyDescent="0.2">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x14ac:dyDescent="0.2">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x14ac:dyDescent="0.2">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x14ac:dyDescent="0.2">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x14ac:dyDescent="0.2">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x14ac:dyDescent="0.2">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x14ac:dyDescent="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x14ac:dyDescent="0.2">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x14ac:dyDescent="0.2">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x14ac:dyDescent="0.2">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x14ac:dyDescent="0.2">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x14ac:dyDescent="0.2">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x14ac:dyDescent="0.2">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x14ac:dyDescent="0.2">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x14ac:dyDescent="0.2">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x14ac:dyDescent="0.2">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x14ac:dyDescent="0.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x14ac:dyDescent="0.2">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x14ac:dyDescent="0.2">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x14ac:dyDescent="0.2">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x14ac:dyDescent="0.2">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x14ac:dyDescent="0.2">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x14ac:dyDescent="0.2">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x14ac:dyDescent="0.2">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x14ac:dyDescent="0.2">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x14ac:dyDescent="0.2">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x14ac:dyDescent="0.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x14ac:dyDescent="0.2">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x14ac:dyDescent="0.2">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x14ac:dyDescent="0.2">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x14ac:dyDescent="0.2">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x14ac:dyDescent="0.2">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x14ac:dyDescent="0.2">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x14ac:dyDescent="0.2">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x14ac:dyDescent="0.2">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x14ac:dyDescent="0.2">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x14ac:dyDescent="0.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x14ac:dyDescent="0.2">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x14ac:dyDescent="0.2">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x14ac:dyDescent="0.2">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x14ac:dyDescent="0.2">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x14ac:dyDescent="0.2">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x14ac:dyDescent="0.2">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x14ac:dyDescent="0.2">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x14ac:dyDescent="0.2">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x14ac:dyDescent="0.2">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x14ac:dyDescent="0.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x14ac:dyDescent="0.2">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x14ac:dyDescent="0.2">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x14ac:dyDescent="0.2">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x14ac:dyDescent="0.2">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x14ac:dyDescent="0.2">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x14ac:dyDescent="0.2">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x14ac:dyDescent="0.2">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x14ac:dyDescent="0.2">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x14ac:dyDescent="0.2">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x14ac:dyDescent="0.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x14ac:dyDescent="0.2">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x14ac:dyDescent="0.2">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x14ac:dyDescent="0.2">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x14ac:dyDescent="0.2">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x14ac:dyDescent="0.2">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x14ac:dyDescent="0.2">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x14ac:dyDescent="0.2">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x14ac:dyDescent="0.2">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x14ac:dyDescent="0.2">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x14ac:dyDescent="0.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x14ac:dyDescent="0.2">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x14ac:dyDescent="0.2">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x14ac:dyDescent="0.2">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x14ac:dyDescent="0.2">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x14ac:dyDescent="0.2">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x14ac:dyDescent="0.2">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x14ac:dyDescent="0.2">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x14ac:dyDescent="0.2">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x14ac:dyDescent="0.2">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x14ac:dyDescent="0.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x14ac:dyDescent="0.2">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x14ac:dyDescent="0.2">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x14ac:dyDescent="0.2">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x14ac:dyDescent="0.2">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x14ac:dyDescent="0.2">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x14ac:dyDescent="0.2">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x14ac:dyDescent="0.2">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x14ac:dyDescent="0.2">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x14ac:dyDescent="0.2">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x14ac:dyDescent="0.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x14ac:dyDescent="0.2">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x14ac:dyDescent="0.2">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x14ac:dyDescent="0.2">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x14ac:dyDescent="0.2">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x14ac:dyDescent="0.2">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x14ac:dyDescent="0.2">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x14ac:dyDescent="0.2">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x14ac:dyDescent="0.2">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x14ac:dyDescent="0.2">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x14ac:dyDescent="0.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x14ac:dyDescent="0.2">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x14ac:dyDescent="0.2">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x14ac:dyDescent="0.2">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x14ac:dyDescent="0.2">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x14ac:dyDescent="0.2">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x14ac:dyDescent="0.2">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x14ac:dyDescent="0.2">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x14ac:dyDescent="0.2">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x14ac:dyDescent="0.2">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x14ac:dyDescent="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x14ac:dyDescent="0.2">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x14ac:dyDescent="0.2">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x14ac:dyDescent="0.2">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x14ac:dyDescent="0.2">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x14ac:dyDescent="0.2">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x14ac:dyDescent="0.2">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x14ac:dyDescent="0.2">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x14ac:dyDescent="0.2">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x14ac:dyDescent="0.2">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x14ac:dyDescent="0.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x14ac:dyDescent="0.2">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x14ac:dyDescent="0.2">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x14ac:dyDescent="0.2">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x14ac:dyDescent="0.2">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x14ac:dyDescent="0.2">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x14ac:dyDescent="0.2">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x14ac:dyDescent="0.2">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x14ac:dyDescent="0.2">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x14ac:dyDescent="0.2">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x14ac:dyDescent="0.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x14ac:dyDescent="0.2">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x14ac:dyDescent="0.2">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x14ac:dyDescent="0.2">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x14ac:dyDescent="0.2">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x14ac:dyDescent="0.2">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x14ac:dyDescent="0.2">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x14ac:dyDescent="0.2">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x14ac:dyDescent="0.2">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x14ac:dyDescent="0.2">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x14ac:dyDescent="0.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x14ac:dyDescent="0.2">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x14ac:dyDescent="0.2">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x14ac:dyDescent="0.2">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x14ac:dyDescent="0.2">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x14ac:dyDescent="0.2">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x14ac:dyDescent="0.2">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x14ac:dyDescent="0.2">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x14ac:dyDescent="0.2">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x14ac:dyDescent="0.2">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x14ac:dyDescent="0.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x14ac:dyDescent="0.2">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x14ac:dyDescent="0.2">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x14ac:dyDescent="0.2">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x14ac:dyDescent="0.2">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x14ac:dyDescent="0.2">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x14ac:dyDescent="0.2">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x14ac:dyDescent="0.2">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x14ac:dyDescent="0.2">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x14ac:dyDescent="0.2">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x14ac:dyDescent="0.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x14ac:dyDescent="0.2">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x14ac:dyDescent="0.2">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x14ac:dyDescent="0.2">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x14ac:dyDescent="0.2">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x14ac:dyDescent="0.2">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x14ac:dyDescent="0.2">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x14ac:dyDescent="0.2">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x14ac:dyDescent="0.2">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x14ac:dyDescent="0.2">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x14ac:dyDescent="0.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x14ac:dyDescent="0.2">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x14ac:dyDescent="0.2">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x14ac:dyDescent="0.2">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x14ac:dyDescent="0.2">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x14ac:dyDescent="0.2">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x14ac:dyDescent="0.2">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x14ac:dyDescent="0.2">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x14ac:dyDescent="0.2">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x14ac:dyDescent="0.2">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x14ac:dyDescent="0.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x14ac:dyDescent="0.2">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x14ac:dyDescent="0.2">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x14ac:dyDescent="0.2">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x14ac:dyDescent="0.2">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x14ac:dyDescent="0.2">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x14ac:dyDescent="0.2">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x14ac:dyDescent="0.2">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x14ac:dyDescent="0.2">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x14ac:dyDescent="0.2">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x14ac:dyDescent="0.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x14ac:dyDescent="0.2">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x14ac:dyDescent="0.2">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x14ac:dyDescent="0.2">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x14ac:dyDescent="0.2">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x14ac:dyDescent="0.2">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x14ac:dyDescent="0.2">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x14ac:dyDescent="0.2">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x14ac:dyDescent="0.2">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x14ac:dyDescent="0.2">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x14ac:dyDescent="0.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x14ac:dyDescent="0.2">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x14ac:dyDescent="0.2">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x14ac:dyDescent="0.2">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x14ac:dyDescent="0.2">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x14ac:dyDescent="0.2">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x14ac:dyDescent="0.2">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x14ac:dyDescent="0.2">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x14ac:dyDescent="0.2">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x14ac:dyDescent="0.2">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x14ac:dyDescent="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x14ac:dyDescent="0.2">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x14ac:dyDescent="0.2">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x14ac:dyDescent="0.2">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x14ac:dyDescent="0.2">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x14ac:dyDescent="0.2">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x14ac:dyDescent="0.2">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x14ac:dyDescent="0.2">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x14ac:dyDescent="0.2">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x14ac:dyDescent="0.2">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x14ac:dyDescent="0.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x14ac:dyDescent="0.2">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x14ac:dyDescent="0.2">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x14ac:dyDescent="0.2">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x14ac:dyDescent="0.2">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x14ac:dyDescent="0.2">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x14ac:dyDescent="0.2">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x14ac:dyDescent="0.2">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x14ac:dyDescent="0.2">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x14ac:dyDescent="0.2">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x14ac:dyDescent="0.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x14ac:dyDescent="0.2">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x14ac:dyDescent="0.2">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x14ac:dyDescent="0.2">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x14ac:dyDescent="0.2">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x14ac:dyDescent="0.2">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x14ac:dyDescent="0.2">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x14ac:dyDescent="0.2">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x14ac:dyDescent="0.2">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x14ac:dyDescent="0.2">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x14ac:dyDescent="0.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x14ac:dyDescent="0.2">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x14ac:dyDescent="0.2">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x14ac:dyDescent="0.2">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x14ac:dyDescent="0.2">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x14ac:dyDescent="0.2">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x14ac:dyDescent="0.2">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x14ac:dyDescent="0.2">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x14ac:dyDescent="0.2">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x14ac:dyDescent="0.2">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x14ac:dyDescent="0.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x14ac:dyDescent="0.2">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x14ac:dyDescent="0.2">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x14ac:dyDescent="0.2">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x14ac:dyDescent="0.2">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x14ac:dyDescent="0.2">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x14ac:dyDescent="0.2">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x14ac:dyDescent="0.2">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x14ac:dyDescent="0.2">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x14ac:dyDescent="0.2">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x14ac:dyDescent="0.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x14ac:dyDescent="0.2">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x14ac:dyDescent="0.2">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x14ac:dyDescent="0.2">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x14ac:dyDescent="0.2">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x14ac:dyDescent="0.2">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x14ac:dyDescent="0.2">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x14ac:dyDescent="0.2">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x14ac:dyDescent="0.2">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x14ac:dyDescent="0.2">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x14ac:dyDescent="0.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x14ac:dyDescent="0.2">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x14ac:dyDescent="0.2">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x14ac:dyDescent="0.2">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x14ac:dyDescent="0.2">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x14ac:dyDescent="0.2">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x14ac:dyDescent="0.2">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x14ac:dyDescent="0.2">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x14ac:dyDescent="0.2">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x14ac:dyDescent="0.2">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x14ac:dyDescent="0.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x14ac:dyDescent="0.2">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x14ac:dyDescent="0.2">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x14ac:dyDescent="0.2">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E7244-CDB3-E54B-8606-148092F83A7F}">
  <sheetPr>
    <pageSetUpPr fitToPage="1"/>
  </sheetPr>
  <dimension ref="A1:Q414"/>
  <sheetViews>
    <sheetView zoomScale="107" zoomScaleNormal="100" workbookViewId="0">
      <pane ySplit="3" topLeftCell="A4" activePane="bottomLeft" state="frozen"/>
      <selection pane="bottomLeft" activeCell="C14" sqref="A1:Q381"/>
    </sheetView>
  </sheetViews>
  <sheetFormatPr baseColWidth="10" defaultColWidth="10.33203125" defaultRowHeight="12.75" customHeight="1" x14ac:dyDescent="0.2"/>
  <cols>
    <col min="1" max="2" width="12.5" style="93" bestFit="1" customWidth="1"/>
    <col min="3" max="3" width="13.83203125" style="93" bestFit="1" customWidth="1"/>
    <col min="4" max="4" width="16.1640625" style="93" bestFit="1" customWidth="1"/>
    <col min="5" max="14" width="14" style="93" bestFit="1" customWidth="1"/>
    <col min="15" max="15" width="10" style="93" bestFit="1" customWidth="1"/>
    <col min="16" max="16" width="11.6640625" style="93" bestFit="1" customWidth="1"/>
    <col min="17" max="17" width="14.5" style="93" bestFit="1" customWidth="1"/>
    <col min="18" max="16384" width="10.33203125" style="93"/>
  </cols>
  <sheetData>
    <row r="1" spans="1:17" ht="16" x14ac:dyDescent="0.2">
      <c r="A1" s="94" t="s">
        <v>346</v>
      </c>
      <c r="B1" s="94"/>
      <c r="C1" s="94"/>
      <c r="D1" s="94"/>
      <c r="E1" s="94"/>
      <c r="F1" s="94"/>
      <c r="G1" s="94"/>
      <c r="H1" s="94"/>
      <c r="I1" s="94"/>
      <c r="J1" s="94"/>
      <c r="K1" s="94"/>
      <c r="L1" s="94"/>
      <c r="M1" s="94"/>
      <c r="N1" s="94"/>
      <c r="O1" s="94"/>
      <c r="P1" s="94"/>
      <c r="Q1" s="94"/>
    </row>
    <row r="2" spans="1:17" ht="84" customHeight="1" x14ac:dyDescent="0.2">
      <c r="A2" s="95" t="s">
        <v>345</v>
      </c>
      <c r="B2" s="95"/>
      <c r="C2" s="95"/>
      <c r="D2" s="95"/>
      <c r="E2" s="95"/>
      <c r="F2" s="95"/>
      <c r="G2" s="95"/>
      <c r="H2" s="95"/>
      <c r="I2" s="95"/>
      <c r="J2" s="95"/>
      <c r="K2" s="95"/>
      <c r="L2" s="95"/>
      <c r="M2" s="95"/>
      <c r="N2" s="95"/>
      <c r="O2" s="95"/>
      <c r="P2" s="95"/>
      <c r="Q2" s="95"/>
    </row>
    <row r="3" spans="1:17" ht="16" x14ac:dyDescent="0.2">
      <c r="A3" s="98" t="s">
        <v>291</v>
      </c>
      <c r="B3" s="98" t="s">
        <v>313</v>
      </c>
      <c r="C3" s="98" t="s">
        <v>292</v>
      </c>
      <c r="D3" s="98" t="s">
        <v>293</v>
      </c>
      <c r="E3" s="99" t="s">
        <v>294</v>
      </c>
      <c r="F3" s="99" t="s">
        <v>295</v>
      </c>
      <c r="G3" s="99" t="s">
        <v>296</v>
      </c>
      <c r="H3" s="99" t="s">
        <v>297</v>
      </c>
      <c r="I3" s="100" t="s">
        <v>298</v>
      </c>
      <c r="J3" s="99" t="s">
        <v>299</v>
      </c>
      <c r="K3" s="100" t="s">
        <v>300</v>
      </c>
      <c r="L3" s="100" t="s">
        <v>301</v>
      </c>
      <c r="M3" s="99" t="s">
        <v>302</v>
      </c>
      <c r="N3" s="99" t="s">
        <v>303</v>
      </c>
      <c r="O3" s="101" t="s">
        <v>315</v>
      </c>
      <c r="P3" s="101" t="s">
        <v>317</v>
      </c>
      <c r="Q3" s="101" t="s">
        <v>314</v>
      </c>
    </row>
    <row r="4" spans="1:17" ht="16" x14ac:dyDescent="0.2">
      <c r="A4" s="64">
        <v>1</v>
      </c>
      <c r="B4" s="64" t="s">
        <v>307</v>
      </c>
      <c r="C4" s="64" t="s">
        <v>304</v>
      </c>
      <c r="D4" s="65" t="s">
        <v>208</v>
      </c>
      <c r="E4" s="64">
        <v>3.7</v>
      </c>
      <c r="F4" s="64">
        <v>4.7</v>
      </c>
      <c r="G4" s="64">
        <v>5.6</v>
      </c>
      <c r="H4" s="63">
        <v>6.2</v>
      </c>
      <c r="I4" s="63">
        <v>7.1</v>
      </c>
      <c r="J4" s="63">
        <v>8.9</v>
      </c>
      <c r="K4" s="63">
        <v>16.399999999999999</v>
      </c>
      <c r="L4" s="63">
        <v>18</v>
      </c>
      <c r="M4" s="63">
        <v>20.8</v>
      </c>
      <c r="N4" s="63">
        <v>22</v>
      </c>
      <c r="O4" s="63" t="s">
        <v>316</v>
      </c>
      <c r="P4" s="63">
        <f>N4-E4</f>
        <v>18.3</v>
      </c>
      <c r="Q4" s="66">
        <f>(N4-E4)/E4</f>
        <v>4.9459459459459456</v>
      </c>
    </row>
    <row r="5" spans="1:17" ht="16" x14ac:dyDescent="0.2">
      <c r="A5" s="64">
        <v>2</v>
      </c>
      <c r="B5" s="64" t="s">
        <v>307</v>
      </c>
      <c r="C5" s="64" t="s">
        <v>304</v>
      </c>
      <c r="D5" s="65" t="s">
        <v>207</v>
      </c>
      <c r="E5" s="64">
        <v>5.4</v>
      </c>
      <c r="F5" s="64">
        <v>6.5</v>
      </c>
      <c r="G5" s="64">
        <v>7.8</v>
      </c>
      <c r="H5" s="63">
        <v>9</v>
      </c>
      <c r="I5" s="63">
        <v>9.6999999999999993</v>
      </c>
      <c r="J5" s="63">
        <v>11.8</v>
      </c>
      <c r="K5" s="63">
        <v>12.4</v>
      </c>
      <c r="L5" s="63">
        <v>10</v>
      </c>
      <c r="M5" s="63">
        <v>11.7</v>
      </c>
      <c r="N5" s="63">
        <v>11.1</v>
      </c>
      <c r="O5" s="63" t="s">
        <v>316</v>
      </c>
      <c r="P5" s="63">
        <f>N5-E5</f>
        <v>5.6999999999999993</v>
      </c>
      <c r="Q5" s="66">
        <f>(N5-E5)/E5</f>
        <v>1.0555555555555554</v>
      </c>
    </row>
    <row r="6" spans="1:17" ht="16" x14ac:dyDescent="0.2">
      <c r="A6" s="64">
        <v>3</v>
      </c>
      <c r="B6" s="64" t="s">
        <v>307</v>
      </c>
      <c r="C6" s="64" t="s">
        <v>304</v>
      </c>
      <c r="D6" s="65" t="s">
        <v>208</v>
      </c>
      <c r="E6" s="64">
        <v>3.9</v>
      </c>
      <c r="F6" s="64">
        <v>5.9</v>
      </c>
      <c r="G6" s="64">
        <v>6.8</v>
      </c>
      <c r="H6" s="63">
        <v>7.5</v>
      </c>
      <c r="I6" s="63">
        <v>8.9</v>
      </c>
      <c r="J6" s="63">
        <v>9.6999999999999993</v>
      </c>
      <c r="K6" s="63">
        <v>15.3</v>
      </c>
      <c r="L6" s="63">
        <v>16.5</v>
      </c>
      <c r="M6" s="63">
        <v>20.3</v>
      </c>
      <c r="N6" s="63">
        <v>20.7</v>
      </c>
      <c r="O6" s="63" t="s">
        <v>316</v>
      </c>
      <c r="P6" s="63">
        <f>N6-E6</f>
        <v>16.8</v>
      </c>
      <c r="Q6" s="66">
        <f>(N6-E6)/E6</f>
        <v>4.3076923076923084</v>
      </c>
    </row>
    <row r="7" spans="1:17" ht="16" x14ac:dyDescent="0.2">
      <c r="A7" s="64">
        <v>4</v>
      </c>
      <c r="B7" s="64" t="s">
        <v>307</v>
      </c>
      <c r="C7" s="64" t="s">
        <v>304</v>
      </c>
      <c r="D7" s="65" t="s">
        <v>207</v>
      </c>
      <c r="E7" s="64">
        <v>5</v>
      </c>
      <c r="F7" s="64">
        <v>8.5</v>
      </c>
      <c r="G7" s="64">
        <v>10.4</v>
      </c>
      <c r="H7" s="63">
        <v>11.2</v>
      </c>
      <c r="I7" s="63">
        <v>12.4</v>
      </c>
      <c r="J7" s="63">
        <v>8.1999999999999993</v>
      </c>
      <c r="K7" s="63">
        <v>10.3</v>
      </c>
      <c r="L7" s="63">
        <v>13.2</v>
      </c>
      <c r="M7" s="63">
        <v>15.1</v>
      </c>
      <c r="N7" s="63">
        <v>15.2</v>
      </c>
      <c r="O7" s="63" t="s">
        <v>316</v>
      </c>
      <c r="P7" s="63">
        <f>N7-E7</f>
        <v>10.199999999999999</v>
      </c>
      <c r="Q7" s="66">
        <f>(N7-E7)/E7</f>
        <v>2.04</v>
      </c>
    </row>
    <row r="8" spans="1:17" ht="16" x14ac:dyDescent="0.2">
      <c r="A8" s="64">
        <v>5</v>
      </c>
      <c r="B8" s="64" t="s">
        <v>307</v>
      </c>
      <c r="C8" s="64" t="s">
        <v>304</v>
      </c>
      <c r="D8" s="65" t="s">
        <v>208</v>
      </c>
      <c r="E8" s="64">
        <v>4.7</v>
      </c>
      <c r="F8" s="64">
        <v>5.3</v>
      </c>
      <c r="G8" s="64">
        <v>6.1</v>
      </c>
      <c r="H8" s="63">
        <v>7.1</v>
      </c>
      <c r="I8" s="63">
        <v>8.1999999999999993</v>
      </c>
      <c r="J8" s="63">
        <v>9.4</v>
      </c>
      <c r="K8" s="63">
        <v>15.3</v>
      </c>
      <c r="L8" s="63">
        <v>17.5</v>
      </c>
      <c r="M8" s="63">
        <v>18.7</v>
      </c>
      <c r="N8" s="63">
        <v>20.3</v>
      </c>
      <c r="O8" s="63" t="s">
        <v>316</v>
      </c>
      <c r="P8" s="63">
        <f>N8-E8</f>
        <v>15.600000000000001</v>
      </c>
      <c r="Q8" s="66">
        <f>(N8-E8)/E8</f>
        <v>3.3191489361702131</v>
      </c>
    </row>
    <row r="9" spans="1:17" ht="16" x14ac:dyDescent="0.2">
      <c r="A9" s="64">
        <v>6</v>
      </c>
      <c r="B9" s="64" t="s">
        <v>307</v>
      </c>
      <c r="C9" s="64" t="s">
        <v>304</v>
      </c>
      <c r="D9" s="65" t="s">
        <v>207</v>
      </c>
      <c r="E9" s="64">
        <v>4.3</v>
      </c>
      <c r="F9" s="64">
        <v>5.8</v>
      </c>
      <c r="G9" s="64">
        <v>7.5</v>
      </c>
      <c r="H9" s="63">
        <v>8.8000000000000007</v>
      </c>
      <c r="I9" s="63">
        <v>10.199999999999999</v>
      </c>
      <c r="J9" s="63">
        <v>11.2</v>
      </c>
      <c r="K9" s="63">
        <v>12.5</v>
      </c>
      <c r="L9" s="63">
        <v>12.7</v>
      </c>
      <c r="M9" s="63">
        <v>12.7</v>
      </c>
      <c r="N9" s="63">
        <v>12.8</v>
      </c>
      <c r="O9" s="63" t="s">
        <v>316</v>
      </c>
      <c r="P9" s="63">
        <f>N9-E9</f>
        <v>8.5</v>
      </c>
      <c r="Q9" s="66">
        <f>(N9-E9)/E9</f>
        <v>1.9767441860465118</v>
      </c>
    </row>
    <row r="10" spans="1:17" ht="16" x14ac:dyDescent="0.2">
      <c r="A10" s="64">
        <v>7</v>
      </c>
      <c r="B10" s="64" t="s">
        <v>307</v>
      </c>
      <c r="C10" s="64" t="s">
        <v>304</v>
      </c>
      <c r="D10" s="65" t="s">
        <v>207</v>
      </c>
      <c r="E10" s="64">
        <v>3.9</v>
      </c>
      <c r="F10" s="64">
        <v>5.5</v>
      </c>
      <c r="G10" s="64">
        <v>5.0999999999999996</v>
      </c>
      <c r="H10" s="63">
        <v>5.7</v>
      </c>
      <c r="I10" s="63">
        <v>7.3</v>
      </c>
      <c r="J10" s="63">
        <v>7.8</v>
      </c>
      <c r="K10" s="63">
        <v>13.2</v>
      </c>
      <c r="L10" s="63">
        <v>10.6</v>
      </c>
      <c r="M10" s="63">
        <v>12.6</v>
      </c>
      <c r="N10" s="63">
        <v>13.1</v>
      </c>
      <c r="O10" s="63" t="s">
        <v>316</v>
      </c>
      <c r="P10" s="63">
        <f>N10-E10</f>
        <v>9.1999999999999993</v>
      </c>
      <c r="Q10" s="66">
        <f>(N10-E10)/E10</f>
        <v>2.358974358974359</v>
      </c>
    </row>
    <row r="11" spans="1:17" ht="16" x14ac:dyDescent="0.2">
      <c r="A11" s="64">
        <v>8</v>
      </c>
      <c r="B11" s="64" t="s">
        <v>307</v>
      </c>
      <c r="C11" s="64" t="s">
        <v>304</v>
      </c>
      <c r="D11" s="65" t="s">
        <v>208</v>
      </c>
      <c r="E11" s="64">
        <v>5.6</v>
      </c>
      <c r="F11" s="64">
        <v>7.4</v>
      </c>
      <c r="G11" s="64">
        <v>7</v>
      </c>
      <c r="H11" s="63">
        <v>8</v>
      </c>
      <c r="I11" s="63">
        <v>9.1999999999999993</v>
      </c>
      <c r="J11" s="63">
        <v>8.6</v>
      </c>
      <c r="K11" s="63">
        <v>13</v>
      </c>
      <c r="L11" s="63">
        <v>13.6</v>
      </c>
      <c r="M11" s="63">
        <v>15.5</v>
      </c>
      <c r="N11" s="63">
        <v>16.399999999999999</v>
      </c>
      <c r="O11" s="63" t="s">
        <v>316</v>
      </c>
      <c r="P11" s="63">
        <f>N11-E11</f>
        <v>10.799999999999999</v>
      </c>
      <c r="Q11" s="66">
        <f>(N11-E11)/E11</f>
        <v>1.9285714285714286</v>
      </c>
    </row>
    <row r="12" spans="1:17" ht="16" x14ac:dyDescent="0.2">
      <c r="A12" s="64">
        <v>9</v>
      </c>
      <c r="B12" s="64" t="s">
        <v>307</v>
      </c>
      <c r="C12" s="64" t="s">
        <v>304</v>
      </c>
      <c r="D12" s="65" t="s">
        <v>207</v>
      </c>
      <c r="E12" s="64">
        <v>4.0999999999999996</v>
      </c>
      <c r="F12" s="64">
        <v>4.2</v>
      </c>
      <c r="G12" s="64">
        <v>3.4</v>
      </c>
      <c r="H12" s="63">
        <v>4.5999999999999996</v>
      </c>
      <c r="I12" s="63">
        <v>5.3</v>
      </c>
      <c r="J12" s="63">
        <v>5.8</v>
      </c>
      <c r="K12" s="63">
        <v>7.3</v>
      </c>
      <c r="L12" s="63">
        <v>6.9</v>
      </c>
      <c r="M12" s="63">
        <v>7.8</v>
      </c>
      <c r="N12" s="63">
        <v>8.3000000000000007</v>
      </c>
      <c r="O12" s="63" t="s">
        <v>316</v>
      </c>
      <c r="P12" s="63">
        <f>N12-E12</f>
        <v>4.2000000000000011</v>
      </c>
      <c r="Q12" s="66">
        <f>(N12-E12)/E12</f>
        <v>1.0243902439024393</v>
      </c>
    </row>
    <row r="13" spans="1:17" ht="16" x14ac:dyDescent="0.2">
      <c r="A13" s="64">
        <v>10</v>
      </c>
      <c r="B13" s="64" t="s">
        <v>307</v>
      </c>
      <c r="C13" s="64" t="s">
        <v>304</v>
      </c>
      <c r="D13" s="65" t="s">
        <v>208</v>
      </c>
      <c r="E13" s="64">
        <v>6.4</v>
      </c>
      <c r="F13" s="64">
        <v>7.3</v>
      </c>
      <c r="G13" s="64">
        <v>6.8</v>
      </c>
      <c r="H13" s="63">
        <v>7.9</v>
      </c>
      <c r="I13" s="63">
        <v>9.6</v>
      </c>
      <c r="J13" s="63">
        <v>8.9</v>
      </c>
      <c r="K13" s="63">
        <v>12.9</v>
      </c>
      <c r="L13" s="63">
        <v>13.1</v>
      </c>
      <c r="M13" s="63">
        <v>14</v>
      </c>
      <c r="N13" s="63">
        <v>16.2</v>
      </c>
      <c r="O13" s="63" t="s">
        <v>316</v>
      </c>
      <c r="P13" s="63">
        <f>N13-E13</f>
        <v>9.7999999999999989</v>
      </c>
      <c r="Q13" s="66">
        <f>(N13-E13)/E13</f>
        <v>1.5312499999999998</v>
      </c>
    </row>
    <row r="14" spans="1:17" ht="16" x14ac:dyDescent="0.2">
      <c r="A14" s="64">
        <v>11</v>
      </c>
      <c r="B14" s="64" t="s">
        <v>307</v>
      </c>
      <c r="C14" s="64" t="s">
        <v>304</v>
      </c>
      <c r="D14" s="65" t="s">
        <v>207</v>
      </c>
      <c r="E14" s="64">
        <v>4</v>
      </c>
      <c r="F14" s="64">
        <v>4.8</v>
      </c>
      <c r="G14" s="64">
        <v>4.8</v>
      </c>
      <c r="H14" s="63">
        <v>5.0999999999999996</v>
      </c>
      <c r="I14" s="63">
        <v>5.8</v>
      </c>
      <c r="J14" s="63">
        <v>6.7</v>
      </c>
      <c r="K14" s="63">
        <v>8.8000000000000007</v>
      </c>
      <c r="L14" s="63">
        <v>7.8</v>
      </c>
      <c r="M14" s="63">
        <v>8.5</v>
      </c>
      <c r="N14" s="63">
        <v>8.5</v>
      </c>
      <c r="O14" s="63" t="s">
        <v>316</v>
      </c>
      <c r="P14" s="63">
        <f>N14-E14</f>
        <v>4.5</v>
      </c>
      <c r="Q14" s="66">
        <f>(N14-E14)/E14</f>
        <v>1.125</v>
      </c>
    </row>
    <row r="15" spans="1:17" ht="16" x14ac:dyDescent="0.2">
      <c r="A15" s="64">
        <v>12</v>
      </c>
      <c r="B15" s="64" t="s">
        <v>307</v>
      </c>
      <c r="C15" s="64" t="s">
        <v>304</v>
      </c>
      <c r="D15" s="65" t="s">
        <v>208</v>
      </c>
      <c r="E15" s="64">
        <v>6.5</v>
      </c>
      <c r="F15" s="64">
        <v>7.4</v>
      </c>
      <c r="G15" s="64">
        <v>7.4</v>
      </c>
      <c r="H15" s="63">
        <v>7.8</v>
      </c>
      <c r="I15" s="63">
        <v>9.4</v>
      </c>
      <c r="J15" s="63">
        <v>9.1999999999999993</v>
      </c>
      <c r="K15" s="63">
        <v>10.8</v>
      </c>
      <c r="L15" s="63">
        <v>11.2</v>
      </c>
      <c r="M15" s="63">
        <v>14.1</v>
      </c>
      <c r="N15" s="63">
        <v>15</v>
      </c>
      <c r="O15" s="63" t="s">
        <v>316</v>
      </c>
      <c r="P15" s="63">
        <f>N15-E15</f>
        <v>8.5</v>
      </c>
      <c r="Q15" s="66">
        <f>(N15-E15)/E15</f>
        <v>1.3076923076923077</v>
      </c>
    </row>
    <row r="16" spans="1:17" ht="16" x14ac:dyDescent="0.2">
      <c r="A16" s="64">
        <v>13</v>
      </c>
      <c r="B16" s="64" t="s">
        <v>307</v>
      </c>
      <c r="C16" s="64" t="s">
        <v>304</v>
      </c>
      <c r="D16" s="65" t="s">
        <v>207</v>
      </c>
      <c r="E16" s="64">
        <v>5.0999999999999996</v>
      </c>
      <c r="F16" s="64">
        <v>5.9</v>
      </c>
      <c r="G16" s="64">
        <v>5.9</v>
      </c>
      <c r="H16" s="63">
        <v>6.6</v>
      </c>
      <c r="I16" s="63">
        <v>7.5</v>
      </c>
      <c r="J16" s="63">
        <v>7.2</v>
      </c>
      <c r="K16" s="63">
        <v>11.2</v>
      </c>
      <c r="L16" s="63">
        <v>11.2</v>
      </c>
      <c r="M16" s="63">
        <v>11.7</v>
      </c>
      <c r="N16" s="63">
        <v>10.4</v>
      </c>
      <c r="O16" s="63" t="s">
        <v>316</v>
      </c>
      <c r="P16" s="63">
        <f>N16-E16</f>
        <v>5.3000000000000007</v>
      </c>
      <c r="Q16" s="66">
        <f>(N16-E16)/E16</f>
        <v>1.0392156862745101</v>
      </c>
    </row>
    <row r="17" spans="1:17" ht="16" x14ac:dyDescent="0.2">
      <c r="A17" s="64">
        <v>14</v>
      </c>
      <c r="B17" s="64" t="s">
        <v>307</v>
      </c>
      <c r="C17" s="64" t="s">
        <v>304</v>
      </c>
      <c r="D17" s="65" t="s">
        <v>208</v>
      </c>
      <c r="E17" s="64">
        <v>4.9000000000000004</v>
      </c>
      <c r="F17" s="64">
        <v>5.6</v>
      </c>
      <c r="G17" s="64">
        <v>6.5</v>
      </c>
      <c r="H17" s="63">
        <v>7.7</v>
      </c>
      <c r="I17" s="63">
        <v>8.3000000000000007</v>
      </c>
      <c r="J17" s="63">
        <v>10.4</v>
      </c>
      <c r="K17" s="63">
        <v>15.1</v>
      </c>
      <c r="L17" s="63">
        <v>15.1</v>
      </c>
      <c r="M17" s="63">
        <v>4.0999999999999996</v>
      </c>
      <c r="N17" s="63">
        <v>6.1</v>
      </c>
      <c r="O17" s="63" t="s">
        <v>316</v>
      </c>
      <c r="P17" s="63">
        <f>N17-E17</f>
        <v>1.1999999999999993</v>
      </c>
      <c r="Q17" s="66">
        <f>(N17-E17)/E17</f>
        <v>0.2448979591836733</v>
      </c>
    </row>
    <row r="18" spans="1:17" ht="16" x14ac:dyDescent="0.2">
      <c r="A18" s="64">
        <v>15</v>
      </c>
      <c r="B18" s="64" t="s">
        <v>307</v>
      </c>
      <c r="C18" s="64" t="s">
        <v>304</v>
      </c>
      <c r="D18" s="65" t="s">
        <v>207</v>
      </c>
      <c r="E18" s="64">
        <v>4.2</v>
      </c>
      <c r="F18" s="64">
        <v>5.2</v>
      </c>
      <c r="G18" s="64">
        <v>6.1</v>
      </c>
      <c r="H18" s="63">
        <v>6.8</v>
      </c>
      <c r="I18" s="63">
        <v>7</v>
      </c>
      <c r="J18" s="63">
        <v>8.4</v>
      </c>
      <c r="K18" s="63">
        <v>8.8000000000000007</v>
      </c>
      <c r="L18" s="63">
        <v>10.8</v>
      </c>
      <c r="M18" s="63">
        <v>11.5</v>
      </c>
      <c r="N18" s="63">
        <v>11.9</v>
      </c>
      <c r="O18" s="63" t="s">
        <v>316</v>
      </c>
      <c r="P18" s="63">
        <f>N18-E18</f>
        <v>7.7</v>
      </c>
      <c r="Q18" s="66">
        <f>(N18-E18)/E18</f>
        <v>1.8333333333333333</v>
      </c>
    </row>
    <row r="19" spans="1:17" ht="16" x14ac:dyDescent="0.2">
      <c r="A19" s="64">
        <v>16</v>
      </c>
      <c r="B19" s="64" t="s">
        <v>307</v>
      </c>
      <c r="C19" s="64" t="s">
        <v>304</v>
      </c>
      <c r="D19" s="65" t="s">
        <v>208</v>
      </c>
      <c r="E19" s="64">
        <v>6.5</v>
      </c>
      <c r="F19" s="64">
        <v>7.6</v>
      </c>
      <c r="G19" s="64">
        <v>8.9</v>
      </c>
      <c r="H19" s="63">
        <v>9.5</v>
      </c>
      <c r="I19" s="63">
        <v>9.4</v>
      </c>
      <c r="J19" s="63">
        <v>11.2</v>
      </c>
      <c r="K19" s="63">
        <v>6.1</v>
      </c>
      <c r="L19" s="63">
        <v>7.4</v>
      </c>
      <c r="M19" s="63">
        <v>7.7</v>
      </c>
      <c r="N19" s="63">
        <v>8.1999999999999993</v>
      </c>
      <c r="O19" s="63" t="s">
        <v>316</v>
      </c>
      <c r="P19" s="63">
        <f>N19-E19</f>
        <v>1.6999999999999993</v>
      </c>
      <c r="Q19" s="66">
        <f>(N19-E19)/E19</f>
        <v>0.26153846153846144</v>
      </c>
    </row>
    <row r="20" spans="1:17" ht="16" x14ac:dyDescent="0.2">
      <c r="A20" s="64">
        <v>17</v>
      </c>
      <c r="B20" s="64" t="s">
        <v>307</v>
      </c>
      <c r="C20" s="64" t="s">
        <v>304</v>
      </c>
      <c r="D20" s="65" t="s">
        <v>207</v>
      </c>
      <c r="E20" s="64">
        <v>5.4</v>
      </c>
      <c r="F20" s="64">
        <v>6.2</v>
      </c>
      <c r="G20" s="64">
        <v>6.7</v>
      </c>
      <c r="H20" s="63">
        <v>5.3</v>
      </c>
      <c r="I20" s="63">
        <v>7.2</v>
      </c>
      <c r="J20" s="63">
        <v>8</v>
      </c>
      <c r="K20" s="63">
        <v>11.9</v>
      </c>
      <c r="L20" s="63">
        <v>13.3</v>
      </c>
      <c r="M20" s="63">
        <v>14.4</v>
      </c>
      <c r="N20" s="63">
        <v>13.7</v>
      </c>
      <c r="O20" s="63" t="s">
        <v>316</v>
      </c>
      <c r="P20" s="63">
        <f>N20-E20</f>
        <v>8.2999999999999989</v>
      </c>
      <c r="Q20" s="66">
        <f>(N20-E20)/E20</f>
        <v>1.5370370370370368</v>
      </c>
    </row>
    <row r="21" spans="1:17" ht="16" x14ac:dyDescent="0.2">
      <c r="A21" s="64">
        <v>18</v>
      </c>
      <c r="B21" s="64" t="s">
        <v>307</v>
      </c>
      <c r="C21" s="64" t="s">
        <v>304</v>
      </c>
      <c r="D21" s="65" t="s">
        <v>208</v>
      </c>
      <c r="E21" s="64">
        <v>5.0999999999999996</v>
      </c>
      <c r="F21" s="64">
        <v>5.9</v>
      </c>
      <c r="G21" s="64">
        <v>6.3</v>
      </c>
      <c r="H21" s="63">
        <v>6.5</v>
      </c>
      <c r="I21" s="63">
        <v>7.8</v>
      </c>
      <c r="J21" s="63">
        <v>9.1</v>
      </c>
      <c r="K21" s="63">
        <v>13.7</v>
      </c>
      <c r="L21" s="63">
        <v>16.7</v>
      </c>
      <c r="M21" s="63">
        <v>18.100000000000001</v>
      </c>
      <c r="N21" s="63">
        <v>18</v>
      </c>
      <c r="O21" s="63" t="s">
        <v>316</v>
      </c>
      <c r="P21" s="63">
        <f>N21-E21</f>
        <v>12.9</v>
      </c>
      <c r="Q21" s="66">
        <f>(N21-E21)/E21</f>
        <v>2.5294117647058827</v>
      </c>
    </row>
    <row r="22" spans="1:17" ht="16" x14ac:dyDescent="0.2">
      <c r="A22" s="64">
        <v>109</v>
      </c>
      <c r="B22" s="64" t="s">
        <v>308</v>
      </c>
      <c r="C22" s="64" t="s">
        <v>304</v>
      </c>
      <c r="D22" s="65" t="s">
        <v>209</v>
      </c>
      <c r="E22" s="64">
        <v>5.0999999999999996</v>
      </c>
      <c r="F22" s="64">
        <v>4.9000000000000004</v>
      </c>
      <c r="G22" s="64">
        <v>5.5</v>
      </c>
      <c r="H22" s="63">
        <v>5.0999999999999996</v>
      </c>
      <c r="I22" s="63">
        <v>5.6</v>
      </c>
      <c r="J22" s="63">
        <v>5.7</v>
      </c>
      <c r="K22" s="63">
        <v>5.4</v>
      </c>
      <c r="L22" s="63">
        <v>7.6</v>
      </c>
      <c r="M22" s="63">
        <v>8.1</v>
      </c>
      <c r="N22" s="63">
        <v>7</v>
      </c>
      <c r="O22" s="63" t="s">
        <v>316</v>
      </c>
      <c r="P22" s="63">
        <f>N22-E22</f>
        <v>1.9000000000000004</v>
      </c>
      <c r="Q22" s="66">
        <f>(N22-E22)/E22</f>
        <v>0.37254901960784326</v>
      </c>
    </row>
    <row r="23" spans="1:17" ht="16" x14ac:dyDescent="0.2">
      <c r="A23" s="64">
        <v>110</v>
      </c>
      <c r="B23" s="64" t="s">
        <v>308</v>
      </c>
      <c r="C23" s="64" t="s">
        <v>304</v>
      </c>
      <c r="D23" s="65" t="s">
        <v>207</v>
      </c>
      <c r="E23" s="64">
        <v>6.8</v>
      </c>
      <c r="F23" s="64">
        <v>4.9000000000000004</v>
      </c>
      <c r="G23" s="64">
        <v>6.9</v>
      </c>
      <c r="H23" s="63">
        <v>8.1</v>
      </c>
      <c r="I23" s="63">
        <v>8.4</v>
      </c>
      <c r="J23" s="63">
        <v>7.5</v>
      </c>
      <c r="K23" s="63">
        <v>6.7</v>
      </c>
      <c r="L23" s="63">
        <v>10.199999999999999</v>
      </c>
      <c r="M23" s="63">
        <v>10.199999999999999</v>
      </c>
      <c r="N23" s="63">
        <v>10.4</v>
      </c>
      <c r="O23" s="63" t="s">
        <v>316</v>
      </c>
      <c r="P23" s="63">
        <f>N23-E23</f>
        <v>3.6000000000000005</v>
      </c>
      <c r="Q23" s="66">
        <f>(N23-E23)/E23</f>
        <v>0.52941176470588247</v>
      </c>
    </row>
    <row r="24" spans="1:17" ht="16" x14ac:dyDescent="0.2">
      <c r="A24" s="64">
        <v>111</v>
      </c>
      <c r="B24" s="64" t="s">
        <v>308</v>
      </c>
      <c r="C24" s="64" t="s">
        <v>304</v>
      </c>
      <c r="D24" s="65" t="s">
        <v>209</v>
      </c>
      <c r="E24" s="64">
        <v>6.4</v>
      </c>
      <c r="F24" s="64">
        <v>5.8</v>
      </c>
      <c r="G24" s="64">
        <v>6.5</v>
      </c>
      <c r="H24" s="63">
        <v>7.4</v>
      </c>
      <c r="I24" s="63">
        <v>7.2</v>
      </c>
      <c r="J24" s="63">
        <v>7.4</v>
      </c>
      <c r="K24" s="63">
        <v>8.8000000000000007</v>
      </c>
      <c r="L24" s="63">
        <v>10.199999999999999</v>
      </c>
      <c r="M24" s="63">
        <v>10.199999999999999</v>
      </c>
      <c r="N24" s="63">
        <v>10.9</v>
      </c>
      <c r="O24" s="63" t="s">
        <v>316</v>
      </c>
      <c r="P24" s="63">
        <f>N24-E24</f>
        <v>4.5</v>
      </c>
      <c r="Q24" s="66">
        <f>(N24-E24)/E24</f>
        <v>0.703125</v>
      </c>
    </row>
    <row r="25" spans="1:17" ht="16" x14ac:dyDescent="0.2">
      <c r="A25" s="64">
        <v>112</v>
      </c>
      <c r="B25" s="64" t="s">
        <v>308</v>
      </c>
      <c r="C25" s="64" t="s">
        <v>304</v>
      </c>
      <c r="D25" s="65" t="s">
        <v>207</v>
      </c>
      <c r="E25" s="64">
        <v>5.8</v>
      </c>
      <c r="F25" s="64">
        <v>6</v>
      </c>
      <c r="G25" s="64">
        <v>6.5</v>
      </c>
      <c r="H25" s="63">
        <v>8.1</v>
      </c>
      <c r="I25" s="63">
        <v>8.9</v>
      </c>
      <c r="J25" s="63">
        <v>8.4</v>
      </c>
      <c r="K25" s="63">
        <v>9.3000000000000007</v>
      </c>
      <c r="L25" s="63">
        <v>11.8</v>
      </c>
      <c r="M25" s="63">
        <v>11.7</v>
      </c>
      <c r="N25" s="63">
        <v>11.8</v>
      </c>
      <c r="O25" s="63" t="s">
        <v>316</v>
      </c>
      <c r="P25" s="63">
        <f>N25-E25</f>
        <v>6.0000000000000009</v>
      </c>
      <c r="Q25" s="66">
        <f>(N25-E25)/E25</f>
        <v>1.0344827586206899</v>
      </c>
    </row>
    <row r="26" spans="1:17" ht="16" x14ac:dyDescent="0.2">
      <c r="A26" s="64">
        <v>113</v>
      </c>
      <c r="B26" s="64" t="s">
        <v>308</v>
      </c>
      <c r="C26" s="64" t="s">
        <v>304</v>
      </c>
      <c r="D26" s="65" t="s">
        <v>209</v>
      </c>
      <c r="E26" s="64">
        <v>4.5999999999999996</v>
      </c>
      <c r="F26" s="64">
        <v>4.4000000000000004</v>
      </c>
      <c r="G26" s="64">
        <v>4.8</v>
      </c>
      <c r="H26" s="63">
        <v>5</v>
      </c>
      <c r="I26" s="63">
        <v>5.6</v>
      </c>
      <c r="J26" s="63">
        <v>6.6</v>
      </c>
      <c r="K26" s="63">
        <v>7.9</v>
      </c>
      <c r="L26" s="63">
        <v>7.2</v>
      </c>
      <c r="M26" s="63">
        <v>7.3</v>
      </c>
      <c r="N26" s="63">
        <v>7.5</v>
      </c>
      <c r="O26" s="63" t="s">
        <v>316</v>
      </c>
      <c r="P26" s="63">
        <f>N26-E26</f>
        <v>2.9000000000000004</v>
      </c>
      <c r="Q26" s="66">
        <f>(N26-E26)/E26</f>
        <v>0.63043478260869579</v>
      </c>
    </row>
    <row r="27" spans="1:17" ht="16" x14ac:dyDescent="0.2">
      <c r="A27" s="64">
        <v>114</v>
      </c>
      <c r="B27" s="64" t="s">
        <v>308</v>
      </c>
      <c r="C27" s="64" t="s">
        <v>304</v>
      </c>
      <c r="D27" s="65" t="s">
        <v>207</v>
      </c>
      <c r="E27" s="64">
        <v>5.4</v>
      </c>
      <c r="F27" s="64">
        <v>5.3</v>
      </c>
      <c r="G27" s="64">
        <v>6.1</v>
      </c>
      <c r="H27" s="63">
        <v>6.4</v>
      </c>
      <c r="I27" s="63">
        <v>6.6</v>
      </c>
      <c r="J27" s="63">
        <v>6.9</v>
      </c>
      <c r="K27" s="63">
        <v>6.6</v>
      </c>
      <c r="L27" s="63">
        <v>8.6</v>
      </c>
      <c r="M27" s="63">
        <v>9.4</v>
      </c>
      <c r="N27" s="63">
        <v>8.5</v>
      </c>
      <c r="O27" s="63" t="s">
        <v>316</v>
      </c>
      <c r="P27" s="63">
        <f>N27-E27</f>
        <v>3.0999999999999996</v>
      </c>
      <c r="Q27" s="66">
        <f>(N27-E27)/E27</f>
        <v>0.57407407407407396</v>
      </c>
    </row>
    <row r="28" spans="1:17" ht="16" x14ac:dyDescent="0.2">
      <c r="A28" s="64">
        <v>115</v>
      </c>
      <c r="B28" s="64" t="s">
        <v>308</v>
      </c>
      <c r="C28" s="64" t="s">
        <v>304</v>
      </c>
      <c r="D28" s="65" t="s">
        <v>209</v>
      </c>
      <c r="E28" s="64">
        <v>5.2</v>
      </c>
      <c r="F28" s="64">
        <v>6.3</v>
      </c>
      <c r="G28" s="64">
        <v>5.9</v>
      </c>
      <c r="H28" s="63">
        <v>7.2</v>
      </c>
      <c r="I28" s="63">
        <v>7.6</v>
      </c>
      <c r="J28" s="63">
        <v>6.9</v>
      </c>
      <c r="K28" s="63">
        <v>7.6</v>
      </c>
      <c r="L28" s="63">
        <v>7.9</v>
      </c>
      <c r="M28" s="63">
        <v>9.1999999999999993</v>
      </c>
      <c r="N28" s="63">
        <v>10.1</v>
      </c>
      <c r="O28" s="63" t="s">
        <v>316</v>
      </c>
      <c r="P28" s="63">
        <f>N28-E28</f>
        <v>4.8999999999999995</v>
      </c>
      <c r="Q28" s="66">
        <f>(N28-E28)/E28</f>
        <v>0.94230769230769218</v>
      </c>
    </row>
    <row r="29" spans="1:17" ht="16" x14ac:dyDescent="0.2">
      <c r="A29" s="64">
        <v>116</v>
      </c>
      <c r="B29" s="64" t="s">
        <v>308</v>
      </c>
      <c r="C29" s="64" t="s">
        <v>304</v>
      </c>
      <c r="D29" s="65" t="s">
        <v>207</v>
      </c>
      <c r="E29" s="64">
        <v>6</v>
      </c>
      <c r="F29" s="64">
        <v>7</v>
      </c>
      <c r="G29" s="64">
        <v>6.4</v>
      </c>
      <c r="H29" s="63">
        <v>7.7</v>
      </c>
      <c r="I29" s="63">
        <v>9</v>
      </c>
      <c r="J29" s="63">
        <v>9.3000000000000007</v>
      </c>
      <c r="K29" s="63">
        <v>10.6</v>
      </c>
      <c r="L29" s="63">
        <v>12.3</v>
      </c>
      <c r="M29" s="63">
        <v>13.5</v>
      </c>
      <c r="N29" s="63">
        <v>13.6</v>
      </c>
      <c r="O29" s="63" t="s">
        <v>316</v>
      </c>
      <c r="P29" s="63">
        <f>N29-E29</f>
        <v>7.6</v>
      </c>
      <c r="Q29" s="66">
        <f>(N29-E29)/E29</f>
        <v>1.2666666666666666</v>
      </c>
    </row>
    <row r="30" spans="1:17" ht="16" x14ac:dyDescent="0.2">
      <c r="A30" s="64">
        <v>117</v>
      </c>
      <c r="B30" s="64" t="s">
        <v>308</v>
      </c>
      <c r="C30" s="64" t="s">
        <v>304</v>
      </c>
      <c r="D30" s="65" t="s">
        <v>209</v>
      </c>
      <c r="E30" s="64">
        <v>5</v>
      </c>
      <c r="F30" s="64">
        <v>4.7</v>
      </c>
      <c r="G30" s="64">
        <v>4.7</v>
      </c>
      <c r="H30" s="63">
        <v>5</v>
      </c>
      <c r="I30" s="63">
        <v>5.0999999999999996</v>
      </c>
      <c r="J30" s="63">
        <v>6.2</v>
      </c>
      <c r="K30" s="63">
        <v>6.5</v>
      </c>
      <c r="L30" s="63">
        <v>7</v>
      </c>
      <c r="M30" s="63">
        <v>6.8</v>
      </c>
      <c r="N30" s="63">
        <v>7.3</v>
      </c>
      <c r="O30" s="63" t="s">
        <v>316</v>
      </c>
      <c r="P30" s="63">
        <f>N30-E30</f>
        <v>2.2999999999999998</v>
      </c>
      <c r="Q30" s="66">
        <f>(N30-E30)/E30</f>
        <v>0.45999999999999996</v>
      </c>
    </row>
    <row r="31" spans="1:17" ht="16" x14ac:dyDescent="0.2">
      <c r="A31" s="64">
        <v>118</v>
      </c>
      <c r="B31" s="64" t="s">
        <v>308</v>
      </c>
      <c r="C31" s="64" t="s">
        <v>304</v>
      </c>
      <c r="D31" s="65" t="s">
        <v>207</v>
      </c>
      <c r="E31" s="64">
        <v>5.6</v>
      </c>
      <c r="F31" s="64">
        <v>4.7</v>
      </c>
      <c r="G31" s="64">
        <v>4.8</v>
      </c>
      <c r="H31" s="63">
        <v>4.3</v>
      </c>
      <c r="I31" s="63">
        <v>5.0999999999999996</v>
      </c>
      <c r="J31" s="63">
        <v>6.8</v>
      </c>
      <c r="K31" s="63">
        <v>11</v>
      </c>
      <c r="L31" s="63">
        <v>10.6</v>
      </c>
      <c r="M31" s="63">
        <v>9.6</v>
      </c>
      <c r="N31" s="63">
        <v>11.2</v>
      </c>
      <c r="O31" s="63" t="s">
        <v>316</v>
      </c>
      <c r="P31" s="63">
        <f>N31-E31</f>
        <v>5.6</v>
      </c>
      <c r="Q31" s="66">
        <f>(N31-E31)/E31</f>
        <v>1</v>
      </c>
    </row>
    <row r="32" spans="1:17" ht="16" x14ac:dyDescent="0.2">
      <c r="A32" s="64">
        <v>119</v>
      </c>
      <c r="B32" s="64" t="s">
        <v>308</v>
      </c>
      <c r="C32" s="64" t="s">
        <v>304</v>
      </c>
      <c r="D32" s="65" t="s">
        <v>209</v>
      </c>
      <c r="E32" s="64">
        <v>6</v>
      </c>
      <c r="F32" s="64">
        <v>6</v>
      </c>
      <c r="G32" s="64">
        <v>6.1</v>
      </c>
      <c r="H32" s="63">
        <v>7</v>
      </c>
      <c r="I32" s="63">
        <v>7.5</v>
      </c>
      <c r="J32" s="63">
        <v>8.3000000000000007</v>
      </c>
      <c r="K32" s="63">
        <v>11.2</v>
      </c>
      <c r="L32" s="63">
        <v>12.6</v>
      </c>
      <c r="M32" s="63">
        <v>12.7</v>
      </c>
      <c r="N32" s="63">
        <v>13.4</v>
      </c>
      <c r="O32" s="63" t="s">
        <v>316</v>
      </c>
      <c r="P32" s="63">
        <f>N32-E32</f>
        <v>7.4</v>
      </c>
      <c r="Q32" s="66">
        <f>(N32-E32)/E32</f>
        <v>1.2333333333333334</v>
      </c>
    </row>
    <row r="33" spans="1:17" ht="16" x14ac:dyDescent="0.2">
      <c r="A33" s="64">
        <v>120</v>
      </c>
      <c r="B33" s="64" t="s">
        <v>308</v>
      </c>
      <c r="C33" s="64" t="s">
        <v>304</v>
      </c>
      <c r="D33" s="65" t="s">
        <v>207</v>
      </c>
      <c r="E33" s="64">
        <v>6.1</v>
      </c>
      <c r="F33" s="64">
        <v>6.3</v>
      </c>
      <c r="G33" s="64">
        <v>6.1</v>
      </c>
      <c r="H33" s="63">
        <v>6.8</v>
      </c>
      <c r="I33" s="63">
        <v>5.4</v>
      </c>
      <c r="J33" s="63">
        <v>5.5</v>
      </c>
      <c r="K33" s="63">
        <v>0</v>
      </c>
      <c r="L33" s="63">
        <v>0</v>
      </c>
      <c r="M33" s="63">
        <v>0</v>
      </c>
      <c r="N33" s="63">
        <v>0</v>
      </c>
      <c r="O33" s="63" t="s">
        <v>305</v>
      </c>
      <c r="P33" s="63">
        <f>N33-E33</f>
        <v>-6.1</v>
      </c>
      <c r="Q33" s="66">
        <f>(N33-E33)/E33</f>
        <v>-1</v>
      </c>
    </row>
    <row r="34" spans="1:17" ht="16" x14ac:dyDescent="0.2">
      <c r="A34" s="64">
        <v>121</v>
      </c>
      <c r="B34" s="64" t="s">
        <v>308</v>
      </c>
      <c r="C34" s="64" t="s">
        <v>304</v>
      </c>
      <c r="D34" s="65" t="s">
        <v>207</v>
      </c>
      <c r="E34" s="64">
        <v>6.6</v>
      </c>
      <c r="F34" s="64">
        <v>6.1</v>
      </c>
      <c r="G34" s="64">
        <v>6.5</v>
      </c>
      <c r="H34" s="63">
        <v>6.9</v>
      </c>
      <c r="I34" s="63">
        <v>7.3</v>
      </c>
      <c r="J34" s="63">
        <v>7.6</v>
      </c>
      <c r="K34" s="63">
        <v>5.8</v>
      </c>
      <c r="L34" s="63">
        <v>9.9</v>
      </c>
      <c r="M34" s="63">
        <v>11.7</v>
      </c>
      <c r="N34" s="63">
        <v>12.1</v>
      </c>
      <c r="O34" s="63" t="s">
        <v>316</v>
      </c>
      <c r="P34" s="63">
        <f>N34-E34</f>
        <v>5.5</v>
      </c>
      <c r="Q34" s="66">
        <f>(N34-E34)/E34</f>
        <v>0.83333333333333337</v>
      </c>
    </row>
    <row r="35" spans="1:17" ht="16" x14ac:dyDescent="0.2">
      <c r="A35" s="64">
        <v>122</v>
      </c>
      <c r="B35" s="64" t="s">
        <v>308</v>
      </c>
      <c r="C35" s="64" t="s">
        <v>304</v>
      </c>
      <c r="D35" s="65" t="s">
        <v>209</v>
      </c>
      <c r="E35" s="64">
        <v>6.1</v>
      </c>
      <c r="F35" s="64">
        <v>7.4</v>
      </c>
      <c r="G35" s="64">
        <v>6.4</v>
      </c>
      <c r="H35" s="63">
        <v>6.7</v>
      </c>
      <c r="I35" s="63">
        <v>6.6</v>
      </c>
      <c r="J35" s="63">
        <v>6.9</v>
      </c>
      <c r="K35" s="63">
        <v>10.199999999999999</v>
      </c>
      <c r="L35" s="63">
        <v>10.4</v>
      </c>
      <c r="M35" s="63">
        <v>10.5</v>
      </c>
      <c r="N35" s="63">
        <v>11.7</v>
      </c>
      <c r="O35" s="63" t="s">
        <v>316</v>
      </c>
      <c r="P35" s="63">
        <f>N35-E35</f>
        <v>5.6</v>
      </c>
      <c r="Q35" s="66">
        <f>(N35-E35)/E35</f>
        <v>0.91803278688524592</v>
      </c>
    </row>
    <row r="36" spans="1:17" ht="16" x14ac:dyDescent="0.2">
      <c r="A36" s="64">
        <v>123</v>
      </c>
      <c r="B36" s="64" t="s">
        <v>308</v>
      </c>
      <c r="C36" s="64" t="s">
        <v>304</v>
      </c>
      <c r="D36" s="65" t="s">
        <v>207</v>
      </c>
      <c r="E36" s="64">
        <v>5.5</v>
      </c>
      <c r="F36" s="64">
        <v>4.2</v>
      </c>
      <c r="G36" s="64">
        <v>5.2</v>
      </c>
      <c r="H36" s="63">
        <v>4.9000000000000004</v>
      </c>
      <c r="I36" s="63">
        <v>5.5</v>
      </c>
      <c r="J36" s="63">
        <v>4.5</v>
      </c>
      <c r="K36" s="63">
        <v>0</v>
      </c>
      <c r="L36" s="63">
        <v>0</v>
      </c>
      <c r="M36" s="63">
        <v>0</v>
      </c>
      <c r="N36" s="63">
        <v>0</v>
      </c>
      <c r="O36" s="63" t="s">
        <v>305</v>
      </c>
      <c r="P36" s="63">
        <f>N36-E36</f>
        <v>-5.5</v>
      </c>
      <c r="Q36" s="66">
        <f>(N36-E36)/E36</f>
        <v>-1</v>
      </c>
    </row>
    <row r="37" spans="1:17" ht="16" x14ac:dyDescent="0.2">
      <c r="A37" s="64">
        <v>124</v>
      </c>
      <c r="B37" s="64" t="s">
        <v>308</v>
      </c>
      <c r="C37" s="64" t="s">
        <v>304</v>
      </c>
      <c r="D37" s="65" t="s">
        <v>209</v>
      </c>
      <c r="E37" s="64">
        <v>6</v>
      </c>
      <c r="F37" s="64">
        <v>5</v>
      </c>
      <c r="G37" s="64">
        <v>5.7</v>
      </c>
      <c r="H37" s="63">
        <v>6.1</v>
      </c>
      <c r="I37" s="63">
        <v>5.7</v>
      </c>
      <c r="J37" s="63">
        <v>6.1</v>
      </c>
      <c r="K37" s="63">
        <v>9.3000000000000007</v>
      </c>
      <c r="L37" s="63">
        <v>7.4</v>
      </c>
      <c r="M37" s="63">
        <v>8.6999999999999993</v>
      </c>
      <c r="N37" s="63">
        <v>8.9</v>
      </c>
      <c r="O37" s="63" t="s">
        <v>316</v>
      </c>
      <c r="P37" s="63">
        <f>N37-E37</f>
        <v>2.9000000000000004</v>
      </c>
      <c r="Q37" s="66">
        <f>(N37-E37)/E37</f>
        <v>0.48333333333333339</v>
      </c>
    </row>
    <row r="38" spans="1:17" ht="16" x14ac:dyDescent="0.2">
      <c r="A38" s="64">
        <v>125</v>
      </c>
      <c r="B38" s="64" t="s">
        <v>308</v>
      </c>
      <c r="C38" s="64" t="s">
        <v>304</v>
      </c>
      <c r="D38" s="65" t="s">
        <v>207</v>
      </c>
      <c r="E38" s="64">
        <v>4.4000000000000004</v>
      </c>
      <c r="F38" s="64">
        <v>5.4</v>
      </c>
      <c r="G38" s="64">
        <v>4.4000000000000004</v>
      </c>
      <c r="H38" s="63">
        <v>4.8</v>
      </c>
      <c r="I38" s="63">
        <v>5</v>
      </c>
      <c r="J38" s="63">
        <v>6.4</v>
      </c>
      <c r="K38" s="63">
        <v>8.3000000000000007</v>
      </c>
      <c r="L38" s="63">
        <v>8.6</v>
      </c>
      <c r="M38" s="63">
        <v>10.1</v>
      </c>
      <c r="N38" s="63">
        <v>10.199999999999999</v>
      </c>
      <c r="O38" s="63" t="s">
        <v>316</v>
      </c>
      <c r="P38" s="63">
        <f>N38-E38</f>
        <v>5.7999999999999989</v>
      </c>
      <c r="Q38" s="66">
        <f>(N38-E38)/E38</f>
        <v>1.3181818181818179</v>
      </c>
    </row>
    <row r="39" spans="1:17" ht="16" x14ac:dyDescent="0.2">
      <c r="A39" s="64">
        <v>126</v>
      </c>
      <c r="B39" s="64" t="s">
        <v>308</v>
      </c>
      <c r="C39" s="64" t="s">
        <v>304</v>
      </c>
      <c r="D39" s="65" t="s">
        <v>209</v>
      </c>
      <c r="E39" s="64">
        <v>5.4</v>
      </c>
      <c r="F39" s="64">
        <v>5.7</v>
      </c>
      <c r="G39" s="64">
        <v>5.7</v>
      </c>
      <c r="H39" s="63">
        <v>5.9</v>
      </c>
      <c r="I39" s="63">
        <v>6.7</v>
      </c>
      <c r="J39" s="63">
        <v>7.5</v>
      </c>
      <c r="K39" s="63">
        <v>7.3</v>
      </c>
      <c r="L39" s="63">
        <v>9.6</v>
      </c>
      <c r="M39" s="63">
        <v>10.199999999999999</v>
      </c>
      <c r="N39" s="63">
        <v>10.7</v>
      </c>
      <c r="O39" s="63" t="s">
        <v>316</v>
      </c>
      <c r="P39" s="63">
        <f>N39-E39</f>
        <v>5.2999999999999989</v>
      </c>
      <c r="Q39" s="66">
        <f>(N39-E39)/E39</f>
        <v>0.98148148148148118</v>
      </c>
    </row>
    <row r="40" spans="1:17" ht="16" x14ac:dyDescent="0.2">
      <c r="A40" s="64">
        <v>127</v>
      </c>
      <c r="B40" s="64" t="s">
        <v>40</v>
      </c>
      <c r="C40" s="64" t="s">
        <v>304</v>
      </c>
      <c r="D40" s="65" t="s">
        <v>208</v>
      </c>
      <c r="E40" s="64">
        <v>8</v>
      </c>
      <c r="F40" s="64">
        <v>4.3</v>
      </c>
      <c r="G40" s="64">
        <v>4.9000000000000004</v>
      </c>
      <c r="H40" s="63">
        <v>5.9</v>
      </c>
      <c r="I40" s="63">
        <v>6.8</v>
      </c>
      <c r="J40" s="63">
        <v>8.1</v>
      </c>
      <c r="K40" s="63">
        <v>9.6</v>
      </c>
      <c r="L40" s="63">
        <v>11.4</v>
      </c>
      <c r="M40" s="63">
        <v>12.6</v>
      </c>
      <c r="N40" s="63">
        <v>13.3</v>
      </c>
      <c r="O40" s="63" t="s">
        <v>316</v>
      </c>
      <c r="P40" s="63">
        <f>N40-E40</f>
        <v>5.3000000000000007</v>
      </c>
      <c r="Q40" s="66">
        <f>(N40-E40)/E40</f>
        <v>0.66250000000000009</v>
      </c>
    </row>
    <row r="41" spans="1:17" ht="16" x14ac:dyDescent="0.2">
      <c r="A41" s="64">
        <v>128</v>
      </c>
      <c r="B41" s="64" t="s">
        <v>40</v>
      </c>
      <c r="C41" s="64" t="s">
        <v>304</v>
      </c>
      <c r="D41" s="65" t="s">
        <v>209</v>
      </c>
      <c r="E41" s="64">
        <v>5</v>
      </c>
      <c r="F41" s="64">
        <v>4.4000000000000004</v>
      </c>
      <c r="G41" s="64">
        <v>5</v>
      </c>
      <c r="H41" s="63">
        <v>5.6</v>
      </c>
      <c r="I41" s="63">
        <v>5.8</v>
      </c>
      <c r="J41" s="63">
        <v>5.6</v>
      </c>
      <c r="K41" s="63">
        <v>5.9</v>
      </c>
      <c r="L41" s="63">
        <v>5.8</v>
      </c>
      <c r="M41" s="63">
        <v>6.4</v>
      </c>
      <c r="N41" s="63">
        <v>5.7</v>
      </c>
      <c r="O41" s="63" t="s">
        <v>316</v>
      </c>
      <c r="P41" s="63">
        <f>N41-E41</f>
        <v>0.70000000000000018</v>
      </c>
      <c r="Q41" s="66">
        <f>(N41-E41)/E41</f>
        <v>0.14000000000000004</v>
      </c>
    </row>
    <row r="42" spans="1:17" ht="16" x14ac:dyDescent="0.2">
      <c r="A42" s="64">
        <v>129</v>
      </c>
      <c r="B42" s="64" t="s">
        <v>40</v>
      </c>
      <c r="C42" s="64" t="s">
        <v>304</v>
      </c>
      <c r="D42" s="65" t="s">
        <v>208</v>
      </c>
      <c r="E42" s="64">
        <v>4.9000000000000004</v>
      </c>
      <c r="F42" s="64">
        <v>5.3</v>
      </c>
      <c r="G42" s="64">
        <v>5.9</v>
      </c>
      <c r="H42" s="63">
        <v>8.6</v>
      </c>
      <c r="I42" s="63">
        <v>11.2</v>
      </c>
      <c r="J42" s="63">
        <v>13.9</v>
      </c>
      <c r="K42" s="63">
        <v>14.8</v>
      </c>
      <c r="L42" s="63">
        <v>20.100000000000001</v>
      </c>
      <c r="M42" s="63">
        <v>23.7</v>
      </c>
      <c r="N42" s="63">
        <v>24.3</v>
      </c>
      <c r="O42" s="63" t="s">
        <v>316</v>
      </c>
      <c r="P42" s="63">
        <f>N42-E42</f>
        <v>19.399999999999999</v>
      </c>
      <c r="Q42" s="66">
        <f>(N42-E42)/E42</f>
        <v>3.9591836734693873</v>
      </c>
    </row>
    <row r="43" spans="1:17" ht="16" x14ac:dyDescent="0.2">
      <c r="A43" s="64">
        <v>130</v>
      </c>
      <c r="B43" s="64" t="s">
        <v>40</v>
      </c>
      <c r="C43" s="64" t="s">
        <v>304</v>
      </c>
      <c r="D43" s="65" t="s">
        <v>209</v>
      </c>
      <c r="E43" s="64">
        <v>6.5</v>
      </c>
      <c r="F43" s="64">
        <v>5.8</v>
      </c>
      <c r="G43" s="64">
        <v>6.3</v>
      </c>
      <c r="H43" s="63">
        <v>7.3</v>
      </c>
      <c r="I43" s="63">
        <v>7.4</v>
      </c>
      <c r="J43" s="63">
        <v>7.1</v>
      </c>
      <c r="K43" s="63">
        <v>8.4</v>
      </c>
      <c r="L43" s="63">
        <v>8.9</v>
      </c>
      <c r="M43" s="63">
        <v>9</v>
      </c>
      <c r="N43" s="63">
        <v>8.9</v>
      </c>
      <c r="O43" s="63" t="s">
        <v>316</v>
      </c>
      <c r="P43" s="63">
        <f>N43-E43</f>
        <v>2.4000000000000004</v>
      </c>
      <c r="Q43" s="66">
        <f>(N43-E43)/E43</f>
        <v>0.36923076923076931</v>
      </c>
    </row>
    <row r="44" spans="1:17" ht="16" x14ac:dyDescent="0.2">
      <c r="A44" s="64">
        <v>131</v>
      </c>
      <c r="B44" s="64" t="s">
        <v>40</v>
      </c>
      <c r="C44" s="64" t="s">
        <v>304</v>
      </c>
      <c r="D44" s="65" t="s">
        <v>208</v>
      </c>
      <c r="E44" s="64">
        <v>7.6</v>
      </c>
      <c r="F44" s="64">
        <v>7.8</v>
      </c>
      <c r="G44" s="64">
        <v>8.8000000000000007</v>
      </c>
      <c r="H44" s="63">
        <v>10.8</v>
      </c>
      <c r="I44" s="63">
        <v>11</v>
      </c>
      <c r="J44" s="63">
        <v>12</v>
      </c>
      <c r="K44" s="63">
        <v>15.6</v>
      </c>
      <c r="L44" s="63">
        <v>19.100000000000001</v>
      </c>
      <c r="M44" s="63">
        <v>20</v>
      </c>
      <c r="N44" s="63">
        <v>21.4</v>
      </c>
      <c r="O44" s="63" t="s">
        <v>316</v>
      </c>
      <c r="P44" s="63">
        <f>N44-E44</f>
        <v>13.799999999999999</v>
      </c>
      <c r="Q44" s="66">
        <f>(N44-E44)/E44</f>
        <v>1.8157894736842104</v>
      </c>
    </row>
    <row r="45" spans="1:17" ht="16" x14ac:dyDescent="0.2">
      <c r="A45" s="64">
        <v>132</v>
      </c>
      <c r="B45" s="64" t="s">
        <v>40</v>
      </c>
      <c r="C45" s="64" t="s">
        <v>304</v>
      </c>
      <c r="D45" s="65" t="s">
        <v>209</v>
      </c>
      <c r="E45" s="64">
        <v>5.3</v>
      </c>
      <c r="F45" s="64">
        <v>5</v>
      </c>
      <c r="G45" s="64">
        <v>5.4</v>
      </c>
      <c r="H45" s="63">
        <v>5.7</v>
      </c>
      <c r="I45" s="63">
        <v>6.3</v>
      </c>
      <c r="J45" s="63">
        <v>7.1</v>
      </c>
      <c r="K45" s="63">
        <v>8.6999999999999993</v>
      </c>
      <c r="L45" s="63">
        <v>9</v>
      </c>
      <c r="M45" s="63">
        <v>9.5</v>
      </c>
      <c r="N45" s="63">
        <v>11</v>
      </c>
      <c r="O45" s="63" t="s">
        <v>316</v>
      </c>
      <c r="P45" s="63">
        <f>N45-E45</f>
        <v>5.7</v>
      </c>
      <c r="Q45" s="66">
        <f>(N45-E45)/E45</f>
        <v>1.0754716981132075</v>
      </c>
    </row>
    <row r="46" spans="1:17" ht="16" x14ac:dyDescent="0.2">
      <c r="A46" s="64">
        <v>133</v>
      </c>
      <c r="B46" s="64" t="s">
        <v>40</v>
      </c>
      <c r="C46" s="64" t="s">
        <v>304</v>
      </c>
      <c r="D46" s="65" t="s">
        <v>209</v>
      </c>
      <c r="E46" s="64">
        <v>6.6</v>
      </c>
      <c r="F46" s="64">
        <v>5.8</v>
      </c>
      <c r="G46" s="64">
        <v>5.2</v>
      </c>
      <c r="H46" s="63">
        <v>5.0999999999999996</v>
      </c>
      <c r="I46" s="63">
        <v>5.6</v>
      </c>
      <c r="J46" s="63">
        <v>4.8</v>
      </c>
      <c r="K46" s="63">
        <v>5.9</v>
      </c>
      <c r="L46" s="63">
        <v>5.8</v>
      </c>
      <c r="M46" s="63">
        <v>6.9</v>
      </c>
      <c r="N46" s="63">
        <v>9.8000000000000007</v>
      </c>
      <c r="O46" s="63" t="s">
        <v>316</v>
      </c>
      <c r="P46" s="63">
        <f>N46-E46</f>
        <v>3.2000000000000011</v>
      </c>
      <c r="Q46" s="66">
        <f>(N46-E46)/E46</f>
        <v>0.48484848484848503</v>
      </c>
    </row>
    <row r="47" spans="1:17" ht="16" x14ac:dyDescent="0.2">
      <c r="A47" s="64">
        <v>134</v>
      </c>
      <c r="B47" s="64" t="s">
        <v>40</v>
      </c>
      <c r="C47" s="64" t="s">
        <v>304</v>
      </c>
      <c r="D47" s="65" t="s">
        <v>208</v>
      </c>
      <c r="E47" s="64">
        <v>8.1999999999999993</v>
      </c>
      <c r="F47" s="64">
        <v>9</v>
      </c>
      <c r="G47" s="64">
        <v>8</v>
      </c>
      <c r="H47" s="63">
        <v>9.4</v>
      </c>
      <c r="I47" s="63">
        <v>10.7</v>
      </c>
      <c r="J47" s="63">
        <v>5.2</v>
      </c>
      <c r="K47" s="63">
        <v>6</v>
      </c>
      <c r="L47" s="63">
        <v>10.6</v>
      </c>
      <c r="M47" s="63">
        <v>13.3</v>
      </c>
      <c r="N47" s="63">
        <v>18.7</v>
      </c>
      <c r="O47" s="63" t="s">
        <v>316</v>
      </c>
      <c r="P47" s="63">
        <f>N47-E47</f>
        <v>10.5</v>
      </c>
      <c r="Q47" s="66">
        <f>(N47-E47)/E47</f>
        <v>1.2804878048780488</v>
      </c>
    </row>
    <row r="48" spans="1:17" ht="16" x14ac:dyDescent="0.2">
      <c r="A48" s="64">
        <v>135</v>
      </c>
      <c r="B48" s="64" t="s">
        <v>40</v>
      </c>
      <c r="C48" s="64" t="s">
        <v>304</v>
      </c>
      <c r="D48" s="65" t="s">
        <v>209</v>
      </c>
      <c r="E48" s="64">
        <v>5.9</v>
      </c>
      <c r="F48" s="64">
        <v>5.5</v>
      </c>
      <c r="G48" s="64">
        <v>5.3</v>
      </c>
      <c r="H48" s="63">
        <v>5.8</v>
      </c>
      <c r="I48" s="63">
        <v>6.6</v>
      </c>
      <c r="J48" s="63">
        <v>6.9</v>
      </c>
      <c r="K48" s="63">
        <v>8.5</v>
      </c>
      <c r="L48" s="63">
        <v>8.3000000000000007</v>
      </c>
      <c r="M48" s="63">
        <v>9.6999999999999993</v>
      </c>
      <c r="N48" s="63">
        <v>12.4</v>
      </c>
      <c r="O48" s="63" t="s">
        <v>316</v>
      </c>
      <c r="P48" s="63">
        <f>N48-E48</f>
        <v>6.5</v>
      </c>
      <c r="Q48" s="66">
        <f>(N48-E48)/E48</f>
        <v>1.1016949152542372</v>
      </c>
    </row>
    <row r="49" spans="1:17" ht="16" x14ac:dyDescent="0.2">
      <c r="A49" s="64">
        <v>136</v>
      </c>
      <c r="B49" s="64" t="s">
        <v>40</v>
      </c>
      <c r="C49" s="64" t="s">
        <v>304</v>
      </c>
      <c r="D49" s="65" t="s">
        <v>208</v>
      </c>
      <c r="E49" s="64">
        <v>7.7</v>
      </c>
      <c r="F49" s="64">
        <v>8.8000000000000007</v>
      </c>
      <c r="G49" s="64">
        <v>8.1999999999999993</v>
      </c>
      <c r="H49" s="63">
        <v>9.9</v>
      </c>
      <c r="I49" s="63">
        <v>12.6</v>
      </c>
      <c r="J49" s="63">
        <v>13.7</v>
      </c>
      <c r="K49" s="63">
        <v>12.3</v>
      </c>
      <c r="L49" s="63">
        <v>12.5</v>
      </c>
      <c r="M49" s="63">
        <v>14.3</v>
      </c>
      <c r="N49" s="63">
        <v>11.5</v>
      </c>
      <c r="O49" s="63" t="s">
        <v>316</v>
      </c>
      <c r="P49" s="63">
        <f>N49-E49</f>
        <v>3.8</v>
      </c>
      <c r="Q49" s="66">
        <f>(N49-E49)/E49</f>
        <v>0.49350649350649345</v>
      </c>
    </row>
    <row r="50" spans="1:17" ht="16" x14ac:dyDescent="0.2">
      <c r="A50" s="64">
        <v>137</v>
      </c>
      <c r="B50" s="64" t="s">
        <v>40</v>
      </c>
      <c r="C50" s="64" t="s">
        <v>304</v>
      </c>
      <c r="D50" s="65" t="s">
        <v>209</v>
      </c>
      <c r="E50" s="64">
        <v>5.2</v>
      </c>
      <c r="F50" s="64">
        <v>4.3</v>
      </c>
      <c r="G50" s="64">
        <v>4.7</v>
      </c>
      <c r="H50" s="63">
        <v>4.9000000000000004</v>
      </c>
      <c r="I50" s="63">
        <v>5</v>
      </c>
      <c r="J50" s="63">
        <v>5</v>
      </c>
      <c r="K50" s="63">
        <v>7.5</v>
      </c>
      <c r="L50" s="63">
        <v>8</v>
      </c>
      <c r="M50" s="63">
        <v>7.8</v>
      </c>
      <c r="N50" s="63">
        <v>8.5</v>
      </c>
      <c r="O50" s="63" t="s">
        <v>316</v>
      </c>
      <c r="P50" s="63">
        <f>N50-E50</f>
        <v>3.3</v>
      </c>
      <c r="Q50" s="66">
        <f>(N50-E50)/E50</f>
        <v>0.63461538461538458</v>
      </c>
    </row>
    <row r="51" spans="1:17" ht="16" x14ac:dyDescent="0.2">
      <c r="A51" s="64">
        <v>138</v>
      </c>
      <c r="B51" s="64" t="s">
        <v>40</v>
      </c>
      <c r="C51" s="64" t="s">
        <v>304</v>
      </c>
      <c r="D51" s="65" t="s">
        <v>208</v>
      </c>
      <c r="E51" s="64">
        <v>9.5</v>
      </c>
      <c r="F51" s="64">
        <v>11.2</v>
      </c>
      <c r="G51" s="64">
        <v>10.4</v>
      </c>
      <c r="H51" s="63">
        <v>11.6</v>
      </c>
      <c r="I51" s="63">
        <v>12.4</v>
      </c>
      <c r="J51" s="63">
        <v>12.2</v>
      </c>
      <c r="K51" s="63">
        <v>16.8</v>
      </c>
      <c r="L51" s="63">
        <v>20.9</v>
      </c>
      <c r="M51" s="63">
        <v>23.2</v>
      </c>
      <c r="N51" s="63">
        <v>28.8</v>
      </c>
      <c r="O51" s="63" t="s">
        <v>316</v>
      </c>
      <c r="P51" s="63">
        <f>N51-E51</f>
        <v>19.3</v>
      </c>
      <c r="Q51" s="66">
        <f>(N51-E51)/E51</f>
        <v>2.0315789473684212</v>
      </c>
    </row>
    <row r="52" spans="1:17" ht="16" x14ac:dyDescent="0.2">
      <c r="A52" s="64">
        <v>139</v>
      </c>
      <c r="B52" s="64" t="s">
        <v>40</v>
      </c>
      <c r="C52" s="64" t="s">
        <v>304</v>
      </c>
      <c r="D52" s="65" t="s">
        <v>209</v>
      </c>
      <c r="E52" s="64">
        <v>6.7</v>
      </c>
      <c r="F52" s="64">
        <v>7</v>
      </c>
      <c r="G52" s="64">
        <v>6.1</v>
      </c>
      <c r="H52" s="63">
        <v>7.4</v>
      </c>
      <c r="I52" s="63">
        <v>8.8000000000000007</v>
      </c>
      <c r="J52" s="63">
        <v>9.1999999999999993</v>
      </c>
      <c r="K52" s="63">
        <v>10.1</v>
      </c>
      <c r="L52" s="63">
        <v>10.4</v>
      </c>
      <c r="M52" s="63">
        <v>11.7</v>
      </c>
      <c r="N52" s="63">
        <v>12.5</v>
      </c>
      <c r="O52" s="63" t="s">
        <v>316</v>
      </c>
      <c r="P52" s="63">
        <f>N52-E52</f>
        <v>5.8</v>
      </c>
      <c r="Q52" s="66">
        <f>(N52-E52)/E52</f>
        <v>0.86567164179104472</v>
      </c>
    </row>
    <row r="53" spans="1:17" ht="16" x14ac:dyDescent="0.2">
      <c r="A53" s="64">
        <v>140</v>
      </c>
      <c r="B53" s="64" t="s">
        <v>40</v>
      </c>
      <c r="C53" s="64" t="s">
        <v>304</v>
      </c>
      <c r="D53" s="65" t="s">
        <v>208</v>
      </c>
      <c r="E53" s="64">
        <v>7</v>
      </c>
      <c r="F53" s="64">
        <v>5.3</v>
      </c>
      <c r="G53" s="64">
        <v>6.9</v>
      </c>
      <c r="H53" s="63">
        <v>6.8</v>
      </c>
      <c r="I53" s="63">
        <v>9.3000000000000007</v>
      </c>
      <c r="J53" s="63">
        <v>10.5</v>
      </c>
      <c r="K53" s="63">
        <v>12.7</v>
      </c>
      <c r="L53" s="63">
        <v>13.3</v>
      </c>
      <c r="M53" s="63">
        <v>15.8</v>
      </c>
      <c r="N53" s="63">
        <v>16.5</v>
      </c>
      <c r="O53" s="63" t="s">
        <v>316</v>
      </c>
      <c r="P53" s="63">
        <f>N53-E53</f>
        <v>9.5</v>
      </c>
      <c r="Q53" s="66">
        <f>(N53-E53)/E53</f>
        <v>1.3571428571428572</v>
      </c>
    </row>
    <row r="54" spans="1:17" ht="16" x14ac:dyDescent="0.2">
      <c r="A54" s="64">
        <v>141</v>
      </c>
      <c r="B54" s="64" t="s">
        <v>40</v>
      </c>
      <c r="C54" s="64" t="s">
        <v>304</v>
      </c>
      <c r="D54" s="65" t="s">
        <v>209</v>
      </c>
      <c r="E54" s="64">
        <v>5.8</v>
      </c>
      <c r="F54" s="64">
        <v>5.0999999999999996</v>
      </c>
      <c r="G54" s="64">
        <v>6.2</v>
      </c>
      <c r="H54" s="63">
        <v>6.1</v>
      </c>
      <c r="I54" s="63">
        <v>7.7</v>
      </c>
      <c r="J54" s="63">
        <v>7.4</v>
      </c>
      <c r="K54" s="63">
        <v>9.4</v>
      </c>
      <c r="L54" s="63">
        <v>9.8000000000000007</v>
      </c>
      <c r="M54" s="63">
        <v>10.4</v>
      </c>
      <c r="N54" s="63">
        <v>10.8</v>
      </c>
      <c r="O54" s="63" t="s">
        <v>316</v>
      </c>
      <c r="P54" s="63">
        <f>N54-E54</f>
        <v>5.0000000000000009</v>
      </c>
      <c r="Q54" s="66">
        <f>(N54-E54)/E54</f>
        <v>0.86206896551724155</v>
      </c>
    </row>
    <row r="55" spans="1:17" ht="16" x14ac:dyDescent="0.2">
      <c r="A55" s="64">
        <v>142</v>
      </c>
      <c r="B55" s="64" t="s">
        <v>40</v>
      </c>
      <c r="C55" s="64" t="s">
        <v>304</v>
      </c>
      <c r="D55" s="65" t="s">
        <v>208</v>
      </c>
      <c r="E55" s="64">
        <v>8.3000000000000007</v>
      </c>
      <c r="F55" s="64">
        <v>8.3000000000000007</v>
      </c>
      <c r="G55" s="64">
        <v>8.9</v>
      </c>
      <c r="H55" s="63">
        <v>9</v>
      </c>
      <c r="I55" s="63">
        <v>11.4</v>
      </c>
      <c r="J55" s="63">
        <v>12.8</v>
      </c>
      <c r="K55" s="63">
        <v>16.600000000000001</v>
      </c>
      <c r="L55" s="63">
        <v>18.600000000000001</v>
      </c>
      <c r="M55" s="63">
        <v>20.6</v>
      </c>
      <c r="N55" s="63">
        <v>23.2</v>
      </c>
      <c r="O55" s="63" t="s">
        <v>316</v>
      </c>
      <c r="P55" s="63">
        <f>N55-E55</f>
        <v>14.899999999999999</v>
      </c>
      <c r="Q55" s="66">
        <f>(N55-E55)/E55</f>
        <v>1.7951807228915659</v>
      </c>
    </row>
    <row r="56" spans="1:17" ht="16" x14ac:dyDescent="0.2">
      <c r="A56" s="64">
        <v>143</v>
      </c>
      <c r="B56" s="64" t="s">
        <v>40</v>
      </c>
      <c r="C56" s="64" t="s">
        <v>304</v>
      </c>
      <c r="D56" s="65" t="s">
        <v>209</v>
      </c>
      <c r="E56" s="64">
        <v>4.4000000000000004</v>
      </c>
      <c r="F56" s="64">
        <v>4.5</v>
      </c>
      <c r="G56" s="64">
        <v>4.2</v>
      </c>
      <c r="H56" s="63">
        <v>4.4000000000000004</v>
      </c>
      <c r="I56" s="63">
        <v>6</v>
      </c>
      <c r="J56" s="63">
        <v>7</v>
      </c>
      <c r="K56" s="63">
        <v>8.5</v>
      </c>
      <c r="L56" s="63">
        <v>9.5</v>
      </c>
      <c r="M56" s="63">
        <v>10.5</v>
      </c>
      <c r="N56" s="63">
        <v>10.7</v>
      </c>
      <c r="O56" s="63" t="s">
        <v>316</v>
      </c>
      <c r="P56" s="63">
        <f>N56-E56</f>
        <v>6.2999999999999989</v>
      </c>
      <c r="Q56" s="66">
        <f>(N56-E56)/E56</f>
        <v>1.4318181818181814</v>
      </c>
    </row>
    <row r="57" spans="1:17" ht="16" x14ac:dyDescent="0.2">
      <c r="A57" s="64">
        <v>144</v>
      </c>
      <c r="B57" s="64" t="s">
        <v>40</v>
      </c>
      <c r="C57" s="64" t="s">
        <v>304</v>
      </c>
      <c r="D57" s="65" t="s">
        <v>208</v>
      </c>
      <c r="E57" s="64">
        <v>5.3</v>
      </c>
      <c r="F57" s="64">
        <v>5.3</v>
      </c>
      <c r="G57" s="64">
        <v>5.0999999999999996</v>
      </c>
      <c r="H57" s="63">
        <v>5.5</v>
      </c>
      <c r="I57" s="63">
        <v>6</v>
      </c>
      <c r="J57" s="63">
        <v>8.6</v>
      </c>
      <c r="K57" s="63">
        <v>14.7</v>
      </c>
      <c r="L57" s="63">
        <v>15.1</v>
      </c>
      <c r="M57" s="63">
        <v>16</v>
      </c>
      <c r="N57" s="63">
        <v>17</v>
      </c>
      <c r="O57" s="63" t="s">
        <v>316</v>
      </c>
      <c r="P57" s="63">
        <f>N57-E57</f>
        <v>11.7</v>
      </c>
      <c r="Q57" s="66">
        <f>(N57-E57)/E57</f>
        <v>2.2075471698113205</v>
      </c>
    </row>
    <row r="58" spans="1:17" ht="16" x14ac:dyDescent="0.2">
      <c r="A58" s="64">
        <v>145</v>
      </c>
      <c r="B58" s="64" t="s">
        <v>309</v>
      </c>
      <c r="C58" s="64" t="s">
        <v>304</v>
      </c>
      <c r="D58" s="65" t="s">
        <v>209</v>
      </c>
      <c r="E58" s="64">
        <v>6.1</v>
      </c>
      <c r="F58" s="64">
        <v>6.8</v>
      </c>
      <c r="G58" s="64">
        <v>6.6</v>
      </c>
      <c r="H58" s="63">
        <v>7.4</v>
      </c>
      <c r="I58" s="63">
        <v>7.4</v>
      </c>
      <c r="J58" s="63">
        <v>8.1</v>
      </c>
      <c r="K58" s="63">
        <v>7.8</v>
      </c>
      <c r="L58" s="63">
        <v>9.8000000000000007</v>
      </c>
      <c r="M58" s="63">
        <v>9.9</v>
      </c>
      <c r="N58" s="63">
        <v>9.6999999999999993</v>
      </c>
      <c r="O58" s="63" t="s">
        <v>316</v>
      </c>
      <c r="P58" s="63">
        <f>N58-E58</f>
        <v>3.5999999999999996</v>
      </c>
      <c r="Q58" s="66">
        <f>(N58-E58)/E58</f>
        <v>0.5901639344262295</v>
      </c>
    </row>
    <row r="59" spans="1:17" ht="16" x14ac:dyDescent="0.2">
      <c r="A59" s="64">
        <v>146</v>
      </c>
      <c r="B59" s="64" t="s">
        <v>309</v>
      </c>
      <c r="C59" s="64" t="s">
        <v>304</v>
      </c>
      <c r="D59" s="65" t="s">
        <v>207</v>
      </c>
      <c r="E59" s="64">
        <v>4</v>
      </c>
      <c r="F59" s="64">
        <v>4.4000000000000004</v>
      </c>
      <c r="G59" s="64">
        <v>5.2</v>
      </c>
      <c r="H59" s="63">
        <v>4.8</v>
      </c>
      <c r="I59" s="63">
        <v>5</v>
      </c>
      <c r="J59" s="63">
        <v>6.3</v>
      </c>
      <c r="K59" s="63">
        <v>7.3</v>
      </c>
      <c r="L59" s="63">
        <v>9.1</v>
      </c>
      <c r="M59" s="63">
        <v>10.199999999999999</v>
      </c>
      <c r="N59" s="63">
        <v>10.1</v>
      </c>
      <c r="O59" s="63" t="s">
        <v>316</v>
      </c>
      <c r="P59" s="63">
        <f>N59-E59</f>
        <v>6.1</v>
      </c>
      <c r="Q59" s="66">
        <f>(N59-E59)/E59</f>
        <v>1.5249999999999999</v>
      </c>
    </row>
    <row r="60" spans="1:17" ht="16" x14ac:dyDescent="0.2">
      <c r="A60" s="64">
        <v>147</v>
      </c>
      <c r="B60" s="64" t="s">
        <v>309</v>
      </c>
      <c r="C60" s="64" t="s">
        <v>304</v>
      </c>
      <c r="D60" s="65" t="s">
        <v>209</v>
      </c>
      <c r="E60" s="64">
        <v>6</v>
      </c>
      <c r="F60" s="64">
        <v>5.9</v>
      </c>
      <c r="G60" s="64">
        <v>6.6</v>
      </c>
      <c r="H60" s="63">
        <v>6.6</v>
      </c>
      <c r="I60" s="63">
        <v>7.1</v>
      </c>
      <c r="J60" s="63">
        <v>7.1</v>
      </c>
      <c r="K60" s="63">
        <v>7.1</v>
      </c>
      <c r="L60" s="63">
        <v>8.1999999999999993</v>
      </c>
      <c r="M60" s="63">
        <v>9.5</v>
      </c>
      <c r="N60" s="63">
        <v>10.1</v>
      </c>
      <c r="O60" s="63" t="s">
        <v>316</v>
      </c>
      <c r="P60" s="63">
        <f>N60-E60</f>
        <v>4.0999999999999996</v>
      </c>
      <c r="Q60" s="66">
        <f>(N60-E60)/E60</f>
        <v>0.68333333333333324</v>
      </c>
    </row>
    <row r="61" spans="1:17" ht="16" x14ac:dyDescent="0.2">
      <c r="A61" s="64">
        <v>148</v>
      </c>
      <c r="B61" s="64" t="s">
        <v>309</v>
      </c>
      <c r="C61" s="64" t="s">
        <v>304</v>
      </c>
      <c r="D61" s="65" t="s">
        <v>207</v>
      </c>
      <c r="E61" s="64">
        <v>4.8</v>
      </c>
      <c r="F61" s="64">
        <v>4.3</v>
      </c>
      <c r="G61" s="64">
        <v>4.3</v>
      </c>
      <c r="H61" s="63">
        <v>5.3</v>
      </c>
      <c r="I61" s="63">
        <v>7.4</v>
      </c>
      <c r="J61" s="63">
        <v>8.9</v>
      </c>
      <c r="K61" s="63">
        <v>9.5</v>
      </c>
      <c r="L61" s="63">
        <v>11.5</v>
      </c>
      <c r="M61" s="63">
        <v>12.5</v>
      </c>
      <c r="N61" s="63">
        <v>14.1</v>
      </c>
      <c r="O61" s="63" t="s">
        <v>316</v>
      </c>
      <c r="P61" s="63">
        <f>N61-E61</f>
        <v>9.3000000000000007</v>
      </c>
      <c r="Q61" s="66">
        <f>(N61-E61)/E61</f>
        <v>1.9375000000000002</v>
      </c>
    </row>
    <row r="62" spans="1:17" ht="16" x14ac:dyDescent="0.2">
      <c r="A62" s="64">
        <v>149</v>
      </c>
      <c r="B62" s="64" t="s">
        <v>309</v>
      </c>
      <c r="C62" s="64" t="s">
        <v>304</v>
      </c>
      <c r="D62" s="65" t="s">
        <v>209</v>
      </c>
      <c r="E62" s="64">
        <v>3.6</v>
      </c>
      <c r="F62" s="64">
        <v>5.0999999999999996</v>
      </c>
      <c r="G62" s="64">
        <v>5.3</v>
      </c>
      <c r="H62" s="63">
        <v>6.7</v>
      </c>
      <c r="I62" s="63">
        <v>6.4</v>
      </c>
      <c r="J62" s="63">
        <v>7.9</v>
      </c>
      <c r="K62" s="63">
        <v>9</v>
      </c>
      <c r="L62" s="63">
        <v>9.9</v>
      </c>
      <c r="M62" s="63">
        <v>9.6</v>
      </c>
      <c r="N62" s="63">
        <v>11</v>
      </c>
      <c r="O62" s="63" t="s">
        <v>316</v>
      </c>
      <c r="P62" s="63">
        <f>N62-E62</f>
        <v>7.4</v>
      </c>
      <c r="Q62" s="66">
        <f>(N62-E62)/E62</f>
        <v>2.0555555555555558</v>
      </c>
    </row>
    <row r="63" spans="1:17" ht="16" x14ac:dyDescent="0.2">
      <c r="A63" s="64">
        <v>150</v>
      </c>
      <c r="B63" s="64" t="s">
        <v>309</v>
      </c>
      <c r="C63" s="64" t="s">
        <v>304</v>
      </c>
      <c r="D63" s="65" t="s">
        <v>207</v>
      </c>
      <c r="E63" s="64">
        <v>4.3</v>
      </c>
      <c r="F63" s="64">
        <v>5.4</v>
      </c>
      <c r="G63" s="64">
        <v>5.3</v>
      </c>
      <c r="H63" s="63">
        <v>5.2</v>
      </c>
      <c r="I63" s="63">
        <v>5.9</v>
      </c>
      <c r="J63" s="63">
        <v>7.1</v>
      </c>
      <c r="K63" s="63">
        <v>9</v>
      </c>
      <c r="L63" s="63">
        <v>8.8000000000000007</v>
      </c>
      <c r="M63" s="63">
        <v>8.9</v>
      </c>
      <c r="N63" s="63">
        <v>9.4</v>
      </c>
      <c r="O63" s="63" t="s">
        <v>316</v>
      </c>
      <c r="P63" s="63">
        <f>N63-E63</f>
        <v>5.1000000000000005</v>
      </c>
      <c r="Q63" s="66">
        <f>(N63-E63)/E63</f>
        <v>1.1860465116279071</v>
      </c>
    </row>
    <row r="64" spans="1:17" ht="16" x14ac:dyDescent="0.2">
      <c r="A64" s="64">
        <v>151</v>
      </c>
      <c r="B64" s="64" t="s">
        <v>309</v>
      </c>
      <c r="C64" s="64" t="s">
        <v>304</v>
      </c>
      <c r="D64" s="65" t="s">
        <v>209</v>
      </c>
      <c r="E64" s="64">
        <v>5.6</v>
      </c>
      <c r="F64" s="64">
        <v>6.2</v>
      </c>
      <c r="G64" s="64">
        <v>5.7</v>
      </c>
      <c r="H64" s="63">
        <v>6.8</v>
      </c>
      <c r="I64" s="63">
        <v>7</v>
      </c>
      <c r="J64" s="63">
        <v>7.5</v>
      </c>
      <c r="K64" s="63">
        <v>9.1</v>
      </c>
      <c r="L64" s="63">
        <v>9.8000000000000007</v>
      </c>
      <c r="M64" s="63">
        <v>10.7</v>
      </c>
      <c r="N64" s="63">
        <v>10.7</v>
      </c>
      <c r="O64" s="63" t="s">
        <v>316</v>
      </c>
      <c r="P64" s="63">
        <f>N64-E64</f>
        <v>5.0999999999999996</v>
      </c>
      <c r="Q64" s="66">
        <f>(N64-E64)/E64</f>
        <v>0.9107142857142857</v>
      </c>
    </row>
    <row r="65" spans="1:17" ht="16" x14ac:dyDescent="0.2">
      <c r="A65" s="64">
        <v>152</v>
      </c>
      <c r="B65" s="64" t="s">
        <v>309</v>
      </c>
      <c r="C65" s="64" t="s">
        <v>304</v>
      </c>
      <c r="D65" s="65" t="s">
        <v>207</v>
      </c>
      <c r="E65" s="64">
        <v>4.7</v>
      </c>
      <c r="F65" s="64">
        <v>3.3</v>
      </c>
      <c r="G65" s="64">
        <v>3.4</v>
      </c>
      <c r="H65" s="63">
        <v>5.2</v>
      </c>
      <c r="I65" s="63">
        <v>5.3</v>
      </c>
      <c r="J65" s="63">
        <v>6.4</v>
      </c>
      <c r="K65" s="63">
        <v>8.4</v>
      </c>
      <c r="L65" s="63">
        <v>9.8000000000000007</v>
      </c>
      <c r="M65" s="63">
        <v>11.2</v>
      </c>
      <c r="N65" s="63">
        <v>10.8</v>
      </c>
      <c r="O65" s="63" t="s">
        <v>316</v>
      </c>
      <c r="P65" s="63">
        <f>N65-E65</f>
        <v>6.1000000000000005</v>
      </c>
      <c r="Q65" s="66">
        <f>(N65-E65)/E65</f>
        <v>1.2978723404255319</v>
      </c>
    </row>
    <row r="66" spans="1:17" ht="16" x14ac:dyDescent="0.2">
      <c r="A66" s="64">
        <v>153</v>
      </c>
      <c r="B66" s="64" t="s">
        <v>309</v>
      </c>
      <c r="C66" s="64" t="s">
        <v>304</v>
      </c>
      <c r="D66" s="65" t="s">
        <v>209</v>
      </c>
      <c r="E66" s="64">
        <v>5</v>
      </c>
      <c r="F66" s="64">
        <v>4.5999999999999996</v>
      </c>
      <c r="G66" s="64">
        <v>4.7</v>
      </c>
      <c r="H66" s="63">
        <v>6</v>
      </c>
      <c r="I66" s="63">
        <v>6.8</v>
      </c>
      <c r="J66" s="63">
        <v>7.1</v>
      </c>
      <c r="K66" s="63">
        <v>8.9</v>
      </c>
      <c r="L66" s="63">
        <v>9</v>
      </c>
      <c r="M66" s="63">
        <v>9.5</v>
      </c>
      <c r="N66" s="63">
        <v>10.6</v>
      </c>
      <c r="O66" s="63" t="s">
        <v>316</v>
      </c>
      <c r="P66" s="63">
        <f>N66-E66</f>
        <v>5.6</v>
      </c>
      <c r="Q66" s="66">
        <f>(N66-E66)/E66</f>
        <v>1.1199999999999999</v>
      </c>
    </row>
    <row r="67" spans="1:17" ht="16" x14ac:dyDescent="0.2">
      <c r="A67" s="64">
        <v>154</v>
      </c>
      <c r="B67" s="64" t="s">
        <v>309</v>
      </c>
      <c r="C67" s="64" t="s">
        <v>304</v>
      </c>
      <c r="D67" s="65" t="s">
        <v>207</v>
      </c>
      <c r="E67" s="64">
        <v>5.3</v>
      </c>
      <c r="F67" s="64">
        <v>5.2</v>
      </c>
      <c r="G67" s="64">
        <v>5.6</v>
      </c>
      <c r="H67" s="63">
        <v>6.7</v>
      </c>
      <c r="I67" s="63">
        <v>7.4</v>
      </c>
      <c r="J67" s="63">
        <v>8.6</v>
      </c>
      <c r="K67" s="63">
        <v>11.2</v>
      </c>
      <c r="L67" s="63">
        <v>12.9</v>
      </c>
      <c r="M67" s="63">
        <v>14.1</v>
      </c>
      <c r="N67" s="63">
        <v>14.3</v>
      </c>
      <c r="O67" s="63" t="s">
        <v>316</v>
      </c>
      <c r="P67" s="63">
        <f>N67-E67</f>
        <v>9</v>
      </c>
      <c r="Q67" s="66">
        <f>(N67-E67)/E67</f>
        <v>1.6981132075471699</v>
      </c>
    </row>
    <row r="68" spans="1:17" ht="16" x14ac:dyDescent="0.2">
      <c r="A68" s="64">
        <v>155</v>
      </c>
      <c r="B68" s="64" t="s">
        <v>309</v>
      </c>
      <c r="C68" s="64" t="s">
        <v>304</v>
      </c>
      <c r="D68" s="65" t="s">
        <v>209</v>
      </c>
      <c r="E68" s="64">
        <v>6.8</v>
      </c>
      <c r="F68" s="64">
        <v>6.6</v>
      </c>
      <c r="G68" s="64">
        <v>6.8</v>
      </c>
      <c r="H68" s="63">
        <v>7.8</v>
      </c>
      <c r="I68" s="63">
        <v>7.8</v>
      </c>
      <c r="J68" s="63">
        <v>8.5</v>
      </c>
      <c r="K68" s="63">
        <v>11.6</v>
      </c>
      <c r="L68" s="63">
        <v>11.6</v>
      </c>
      <c r="M68" s="63">
        <v>11.9</v>
      </c>
      <c r="N68" s="63">
        <v>13.2</v>
      </c>
      <c r="O68" s="63" t="s">
        <v>316</v>
      </c>
      <c r="P68" s="63">
        <f>N68-E68</f>
        <v>6.3999999999999995</v>
      </c>
      <c r="Q68" s="66">
        <f>(N68-E68)/E68</f>
        <v>0.94117647058823528</v>
      </c>
    </row>
    <row r="69" spans="1:17" ht="16" x14ac:dyDescent="0.2">
      <c r="A69" s="64">
        <v>156</v>
      </c>
      <c r="B69" s="64" t="s">
        <v>309</v>
      </c>
      <c r="C69" s="64" t="s">
        <v>304</v>
      </c>
      <c r="D69" s="65" t="s">
        <v>207</v>
      </c>
      <c r="E69" s="64">
        <v>6.4</v>
      </c>
      <c r="F69" s="64">
        <v>6.5</v>
      </c>
      <c r="G69" s="64">
        <v>6.2</v>
      </c>
      <c r="H69" s="63">
        <v>7.8</v>
      </c>
      <c r="I69" s="63">
        <v>7.8</v>
      </c>
      <c r="J69" s="63">
        <v>8.4</v>
      </c>
      <c r="K69" s="63">
        <v>10.5</v>
      </c>
      <c r="L69" s="63">
        <v>11.6</v>
      </c>
      <c r="M69" s="63">
        <v>12</v>
      </c>
      <c r="N69" s="63">
        <v>14.5</v>
      </c>
      <c r="O69" s="63" t="s">
        <v>316</v>
      </c>
      <c r="P69" s="63">
        <f>N69-E69</f>
        <v>8.1</v>
      </c>
      <c r="Q69" s="66">
        <f>(N69-E69)/E69</f>
        <v>1.2656249999999998</v>
      </c>
    </row>
    <row r="70" spans="1:17" ht="16" x14ac:dyDescent="0.2">
      <c r="A70" s="64">
        <v>157</v>
      </c>
      <c r="B70" s="64" t="s">
        <v>309</v>
      </c>
      <c r="C70" s="64" t="s">
        <v>304</v>
      </c>
      <c r="D70" s="65" t="s">
        <v>207</v>
      </c>
      <c r="E70" s="64">
        <v>5.6</v>
      </c>
      <c r="F70" s="64">
        <v>6.3</v>
      </c>
      <c r="G70" s="64">
        <v>6.3</v>
      </c>
      <c r="H70" s="63">
        <v>6.3</v>
      </c>
      <c r="I70" s="63">
        <v>6.9</v>
      </c>
      <c r="J70" s="63">
        <v>6.8</v>
      </c>
      <c r="K70" s="63">
        <v>7.1</v>
      </c>
      <c r="L70" s="63">
        <v>9.5</v>
      </c>
      <c r="M70" s="63">
        <v>9.9</v>
      </c>
      <c r="N70" s="63">
        <v>9.9</v>
      </c>
      <c r="O70" s="63" t="s">
        <v>316</v>
      </c>
      <c r="P70" s="63">
        <f>N70-E70</f>
        <v>4.3000000000000007</v>
      </c>
      <c r="Q70" s="66">
        <f>(N70-E70)/E70</f>
        <v>0.76785714285714302</v>
      </c>
    </row>
    <row r="71" spans="1:17" ht="16" x14ac:dyDescent="0.2">
      <c r="A71" s="64">
        <v>158</v>
      </c>
      <c r="B71" s="64" t="s">
        <v>309</v>
      </c>
      <c r="C71" s="64" t="s">
        <v>304</v>
      </c>
      <c r="D71" s="65" t="s">
        <v>209</v>
      </c>
      <c r="E71" s="64">
        <v>5.6</v>
      </c>
      <c r="F71" s="64">
        <v>5.3</v>
      </c>
      <c r="G71" s="64">
        <v>5.6</v>
      </c>
      <c r="H71" s="63">
        <v>5.8</v>
      </c>
      <c r="I71" s="63">
        <v>7.7</v>
      </c>
      <c r="J71" s="63">
        <v>8.3000000000000007</v>
      </c>
      <c r="K71" s="63">
        <v>9.3000000000000007</v>
      </c>
      <c r="L71" s="63">
        <v>10.4</v>
      </c>
      <c r="M71" s="63">
        <v>12</v>
      </c>
      <c r="N71" s="63">
        <v>12.4</v>
      </c>
      <c r="O71" s="63" t="s">
        <v>316</v>
      </c>
      <c r="P71" s="63">
        <f>N71-E71</f>
        <v>6.8000000000000007</v>
      </c>
      <c r="Q71" s="66">
        <f>(N71-E71)/E71</f>
        <v>1.2142857142857144</v>
      </c>
    </row>
    <row r="72" spans="1:17" ht="16" x14ac:dyDescent="0.2">
      <c r="A72" s="64">
        <v>159</v>
      </c>
      <c r="B72" s="64" t="s">
        <v>309</v>
      </c>
      <c r="C72" s="64" t="s">
        <v>304</v>
      </c>
      <c r="D72" s="65" t="s">
        <v>207</v>
      </c>
      <c r="E72" s="64">
        <v>5.2</v>
      </c>
      <c r="F72" s="64">
        <v>5.5</v>
      </c>
      <c r="G72" s="64">
        <v>5.6</v>
      </c>
      <c r="H72" s="63">
        <v>6.7</v>
      </c>
      <c r="I72" s="63">
        <v>5.8</v>
      </c>
      <c r="J72" s="63">
        <v>8.6999999999999993</v>
      </c>
      <c r="K72" s="63">
        <v>8.3000000000000007</v>
      </c>
      <c r="L72" s="63">
        <v>9.8000000000000007</v>
      </c>
      <c r="M72" s="63">
        <v>11.3</v>
      </c>
      <c r="N72" s="63">
        <v>11.2</v>
      </c>
      <c r="O72" s="63" t="s">
        <v>316</v>
      </c>
      <c r="P72" s="63">
        <f>N72-E72</f>
        <v>5.9999999999999991</v>
      </c>
      <c r="Q72" s="66">
        <f>(N72-E72)/E72</f>
        <v>1.1538461538461537</v>
      </c>
    </row>
    <row r="73" spans="1:17" ht="16" x14ac:dyDescent="0.2">
      <c r="A73" s="64">
        <v>160</v>
      </c>
      <c r="B73" s="64" t="s">
        <v>309</v>
      </c>
      <c r="C73" s="64" t="s">
        <v>304</v>
      </c>
      <c r="D73" s="65" t="s">
        <v>209</v>
      </c>
      <c r="E73" s="64">
        <v>5.2</v>
      </c>
      <c r="F73" s="64">
        <v>5.8</v>
      </c>
      <c r="G73" s="64">
        <v>6</v>
      </c>
      <c r="H73" s="63">
        <v>6.4</v>
      </c>
      <c r="I73" s="63">
        <v>7.3</v>
      </c>
      <c r="J73" s="63">
        <v>7.5</v>
      </c>
      <c r="K73" s="63">
        <v>8.6999999999999993</v>
      </c>
      <c r="L73" s="63">
        <v>9.8000000000000007</v>
      </c>
      <c r="M73" s="63">
        <v>11.3</v>
      </c>
      <c r="N73" s="63">
        <v>11</v>
      </c>
      <c r="O73" s="63" t="s">
        <v>316</v>
      </c>
      <c r="P73" s="63">
        <f>N73-E73</f>
        <v>5.8</v>
      </c>
      <c r="Q73" s="66">
        <f>(N73-E73)/E73</f>
        <v>1.1153846153846154</v>
      </c>
    </row>
    <row r="74" spans="1:17" ht="16" x14ac:dyDescent="0.2">
      <c r="A74" s="64">
        <v>161</v>
      </c>
      <c r="B74" s="64" t="s">
        <v>309</v>
      </c>
      <c r="C74" s="64" t="s">
        <v>304</v>
      </c>
      <c r="D74" s="65" t="s">
        <v>207</v>
      </c>
      <c r="E74" s="64">
        <v>5</v>
      </c>
      <c r="F74" s="64">
        <v>6.3</v>
      </c>
      <c r="G74" s="64">
        <v>7.4</v>
      </c>
      <c r="H74" s="63">
        <v>6.1</v>
      </c>
      <c r="I74" s="63">
        <v>0</v>
      </c>
      <c r="J74" s="63">
        <v>0</v>
      </c>
      <c r="K74" s="63">
        <v>0</v>
      </c>
      <c r="L74" s="63">
        <v>0</v>
      </c>
      <c r="M74" s="63">
        <v>0</v>
      </c>
      <c r="N74" s="63">
        <v>0</v>
      </c>
      <c r="O74" s="63" t="s">
        <v>305</v>
      </c>
      <c r="P74" s="63">
        <f>N74-E74</f>
        <v>-5</v>
      </c>
      <c r="Q74" s="66">
        <f>(N74-E74)/E74</f>
        <v>-1</v>
      </c>
    </row>
    <row r="75" spans="1:17" ht="16" x14ac:dyDescent="0.2">
      <c r="A75" s="64">
        <v>162</v>
      </c>
      <c r="B75" s="64" t="s">
        <v>309</v>
      </c>
      <c r="C75" s="64" t="s">
        <v>304</v>
      </c>
      <c r="D75" s="65" t="s">
        <v>209</v>
      </c>
      <c r="E75" s="64">
        <v>5.7</v>
      </c>
      <c r="F75" s="64">
        <v>6.5</v>
      </c>
      <c r="G75" s="64">
        <v>7.2</v>
      </c>
      <c r="H75" s="63">
        <v>7.2</v>
      </c>
      <c r="I75" s="63">
        <v>7.9</v>
      </c>
      <c r="J75" s="63">
        <v>8</v>
      </c>
      <c r="K75" s="63">
        <v>8.6999999999999993</v>
      </c>
      <c r="L75" s="63">
        <v>10.5</v>
      </c>
      <c r="M75" s="63">
        <v>11</v>
      </c>
      <c r="N75" s="63">
        <v>10.7</v>
      </c>
      <c r="O75" s="63" t="s">
        <v>316</v>
      </c>
      <c r="P75" s="63">
        <f>N75-E75</f>
        <v>4.9999999999999991</v>
      </c>
      <c r="Q75" s="66">
        <f>(N75-E75)/E75</f>
        <v>0.87719298245614019</v>
      </c>
    </row>
    <row r="76" spans="1:17" ht="16" x14ac:dyDescent="0.2">
      <c r="A76" s="64">
        <v>217</v>
      </c>
      <c r="B76" s="64" t="s">
        <v>45</v>
      </c>
      <c r="C76" s="64" t="s">
        <v>304</v>
      </c>
      <c r="D76" s="65" t="s">
        <v>209</v>
      </c>
      <c r="E76" s="64">
        <v>5</v>
      </c>
      <c r="F76" s="64">
        <v>4.7</v>
      </c>
      <c r="G76" s="64">
        <v>4.3</v>
      </c>
      <c r="H76" s="63">
        <v>5.5</v>
      </c>
      <c r="I76" s="63">
        <v>6.7</v>
      </c>
      <c r="J76" s="63">
        <v>6.6</v>
      </c>
      <c r="K76" s="63">
        <v>8.5</v>
      </c>
      <c r="L76" s="63">
        <v>10.1</v>
      </c>
      <c r="M76" s="63">
        <v>9.4</v>
      </c>
      <c r="N76" s="63">
        <v>9.3000000000000007</v>
      </c>
      <c r="O76" s="63" t="s">
        <v>316</v>
      </c>
      <c r="P76" s="63">
        <f>N76-E76</f>
        <v>4.3000000000000007</v>
      </c>
      <c r="Q76" s="66">
        <f>(N76-E76)/E76</f>
        <v>0.8600000000000001</v>
      </c>
    </row>
    <row r="77" spans="1:17" ht="16" x14ac:dyDescent="0.2">
      <c r="A77" s="64">
        <v>218</v>
      </c>
      <c r="B77" s="64" t="s">
        <v>45</v>
      </c>
      <c r="C77" s="64" t="s">
        <v>304</v>
      </c>
      <c r="D77" s="65" t="s">
        <v>208</v>
      </c>
      <c r="E77" s="64">
        <v>4.5</v>
      </c>
      <c r="F77" s="64">
        <v>5</v>
      </c>
      <c r="G77" s="64">
        <v>4.4000000000000004</v>
      </c>
      <c r="H77" s="63">
        <v>5.0999999999999996</v>
      </c>
      <c r="I77" s="63">
        <v>7.4</v>
      </c>
      <c r="J77" s="63">
        <v>7.9</v>
      </c>
      <c r="K77" s="63">
        <v>13.3</v>
      </c>
      <c r="L77" s="63">
        <v>17.3</v>
      </c>
      <c r="M77" s="63">
        <v>16.7</v>
      </c>
      <c r="N77" s="63">
        <v>11</v>
      </c>
      <c r="O77" s="63" t="s">
        <v>316</v>
      </c>
      <c r="P77" s="63">
        <f>N77-E77</f>
        <v>6.5</v>
      </c>
      <c r="Q77" s="66">
        <f>(N77-E77)/E77</f>
        <v>1.4444444444444444</v>
      </c>
    </row>
    <row r="78" spans="1:17" ht="16" x14ac:dyDescent="0.2">
      <c r="A78" s="64">
        <v>219</v>
      </c>
      <c r="B78" s="64" t="s">
        <v>45</v>
      </c>
      <c r="C78" s="64" t="s">
        <v>304</v>
      </c>
      <c r="D78" s="65" t="s">
        <v>209</v>
      </c>
      <c r="E78" s="64">
        <v>5.5</v>
      </c>
      <c r="F78" s="64">
        <v>5.3</v>
      </c>
      <c r="G78" s="64">
        <v>5</v>
      </c>
      <c r="H78" s="63">
        <v>5.7</v>
      </c>
      <c r="I78" s="63">
        <v>7</v>
      </c>
      <c r="J78" s="63">
        <v>6.4</v>
      </c>
      <c r="K78" s="63">
        <v>7.8</v>
      </c>
      <c r="L78" s="63">
        <v>9.8000000000000007</v>
      </c>
      <c r="M78" s="63">
        <v>8.1999999999999993</v>
      </c>
      <c r="N78" s="63">
        <v>7.3</v>
      </c>
      <c r="O78" s="63" t="s">
        <v>316</v>
      </c>
      <c r="P78" s="63">
        <f>N78-E78</f>
        <v>1.7999999999999998</v>
      </c>
      <c r="Q78" s="66">
        <f>(N78-E78)/E78</f>
        <v>0.32727272727272722</v>
      </c>
    </row>
    <row r="79" spans="1:17" ht="16" x14ac:dyDescent="0.2">
      <c r="A79" s="64">
        <v>220</v>
      </c>
      <c r="B79" s="64" t="s">
        <v>45</v>
      </c>
      <c r="C79" s="64" t="s">
        <v>304</v>
      </c>
      <c r="D79" s="65" t="s">
        <v>208</v>
      </c>
      <c r="E79" s="64">
        <v>5.0999999999999996</v>
      </c>
      <c r="F79" s="64">
        <v>6.1</v>
      </c>
      <c r="G79" s="64">
        <v>6.1</v>
      </c>
      <c r="H79" s="63">
        <v>8.1</v>
      </c>
      <c r="I79" s="63">
        <v>10.5</v>
      </c>
      <c r="J79" s="63">
        <v>12.2</v>
      </c>
      <c r="K79" s="63">
        <v>16</v>
      </c>
      <c r="L79" s="63">
        <v>16.7</v>
      </c>
      <c r="M79" s="63">
        <v>21</v>
      </c>
      <c r="N79" s="63">
        <v>21</v>
      </c>
      <c r="O79" s="63" t="s">
        <v>316</v>
      </c>
      <c r="P79" s="63">
        <f>N79-E79</f>
        <v>15.9</v>
      </c>
      <c r="Q79" s="66">
        <f>(N79-E79)/E79</f>
        <v>3.1176470588235299</v>
      </c>
    </row>
    <row r="80" spans="1:17" ht="16" x14ac:dyDescent="0.2">
      <c r="A80" s="64">
        <v>221</v>
      </c>
      <c r="B80" s="64" t="s">
        <v>45</v>
      </c>
      <c r="C80" s="64" t="s">
        <v>304</v>
      </c>
      <c r="D80" s="65" t="s">
        <v>209</v>
      </c>
      <c r="E80" s="64">
        <v>5.3</v>
      </c>
      <c r="F80" s="64">
        <v>5.3</v>
      </c>
      <c r="G80" s="64">
        <v>5.2</v>
      </c>
      <c r="H80" s="63">
        <v>5.7</v>
      </c>
      <c r="I80" s="63">
        <v>6</v>
      </c>
      <c r="J80" s="63">
        <v>6.8</v>
      </c>
      <c r="K80" s="63">
        <v>8.1</v>
      </c>
      <c r="L80" s="63">
        <v>7.5</v>
      </c>
      <c r="M80" s="63">
        <v>10.9</v>
      </c>
      <c r="N80" s="63">
        <v>10.5</v>
      </c>
      <c r="O80" s="63" t="s">
        <v>316</v>
      </c>
      <c r="P80" s="63">
        <f>N80-E80</f>
        <v>5.2</v>
      </c>
      <c r="Q80" s="66">
        <f>(N80-E80)/E80</f>
        <v>0.98113207547169823</v>
      </c>
    </row>
    <row r="81" spans="1:17" ht="16" x14ac:dyDescent="0.2">
      <c r="A81" s="64">
        <v>222</v>
      </c>
      <c r="B81" s="64" t="s">
        <v>45</v>
      </c>
      <c r="C81" s="64" t="s">
        <v>304</v>
      </c>
      <c r="D81" s="65" t="s">
        <v>208</v>
      </c>
      <c r="E81" s="64">
        <v>5.0999999999999996</v>
      </c>
      <c r="F81" s="64">
        <v>5.6</v>
      </c>
      <c r="G81" s="64">
        <v>5.9</v>
      </c>
      <c r="H81" s="63">
        <v>6.8</v>
      </c>
      <c r="I81" s="63">
        <v>8.1999999999999993</v>
      </c>
      <c r="J81" s="63">
        <v>8.8000000000000007</v>
      </c>
      <c r="K81" s="63">
        <v>12.1</v>
      </c>
      <c r="L81" s="63">
        <v>18.3</v>
      </c>
      <c r="M81" s="63">
        <v>17.3</v>
      </c>
      <c r="N81" s="63">
        <v>18.7</v>
      </c>
      <c r="O81" s="63" t="s">
        <v>316</v>
      </c>
      <c r="P81" s="63">
        <f>N81-E81</f>
        <v>13.6</v>
      </c>
      <c r="Q81" s="66">
        <f>(N81-E81)/E81</f>
        <v>2.666666666666667</v>
      </c>
    </row>
    <row r="82" spans="1:17" ht="16" x14ac:dyDescent="0.2">
      <c r="A82" s="64">
        <v>223</v>
      </c>
      <c r="B82" s="64" t="s">
        <v>45</v>
      </c>
      <c r="C82" s="64" t="s">
        <v>304</v>
      </c>
      <c r="D82" s="65" t="s">
        <v>209</v>
      </c>
      <c r="E82" s="64">
        <v>4.7</v>
      </c>
      <c r="F82" s="64">
        <v>4.5999999999999996</v>
      </c>
      <c r="G82" s="64">
        <v>4.7</v>
      </c>
      <c r="H82" s="63">
        <v>6</v>
      </c>
      <c r="I82" s="63">
        <v>6.6</v>
      </c>
      <c r="J82" s="63">
        <v>6.7</v>
      </c>
      <c r="K82" s="63">
        <v>5.8</v>
      </c>
      <c r="L82" s="63">
        <v>0</v>
      </c>
      <c r="M82" s="63">
        <v>0</v>
      </c>
      <c r="N82" s="63">
        <v>0</v>
      </c>
      <c r="O82" s="63" t="s">
        <v>306</v>
      </c>
      <c r="P82" s="63">
        <f>N82-E82</f>
        <v>-4.7</v>
      </c>
      <c r="Q82" s="66">
        <f>(N82-E82)/E82</f>
        <v>-1</v>
      </c>
    </row>
    <row r="83" spans="1:17" ht="16" x14ac:dyDescent="0.2">
      <c r="A83" s="64">
        <v>224</v>
      </c>
      <c r="B83" s="64" t="s">
        <v>45</v>
      </c>
      <c r="C83" s="64" t="s">
        <v>304</v>
      </c>
      <c r="D83" s="65" t="s">
        <v>208</v>
      </c>
      <c r="E83" s="64">
        <v>4.5999999999999996</v>
      </c>
      <c r="F83" s="64">
        <v>4.0999999999999996</v>
      </c>
      <c r="G83" s="64">
        <v>4.4000000000000004</v>
      </c>
      <c r="H83" s="63">
        <v>5</v>
      </c>
      <c r="I83" s="63">
        <v>7.7</v>
      </c>
      <c r="J83" s="63">
        <v>9.3000000000000007</v>
      </c>
      <c r="K83" s="63">
        <v>12.3</v>
      </c>
      <c r="L83" s="63">
        <v>17.5</v>
      </c>
      <c r="M83" s="63">
        <v>17.2</v>
      </c>
      <c r="N83" s="63">
        <v>18.2</v>
      </c>
      <c r="O83" s="63" t="s">
        <v>316</v>
      </c>
      <c r="P83" s="63">
        <f>N83-E83</f>
        <v>13.6</v>
      </c>
      <c r="Q83" s="66">
        <f>(N83-E83)/E83</f>
        <v>2.956521739130435</v>
      </c>
    </row>
    <row r="84" spans="1:17" ht="16" x14ac:dyDescent="0.2">
      <c r="A84" s="64">
        <v>225</v>
      </c>
      <c r="B84" s="64" t="s">
        <v>45</v>
      </c>
      <c r="C84" s="64" t="s">
        <v>304</v>
      </c>
      <c r="D84" s="65" t="s">
        <v>209</v>
      </c>
      <c r="E84" s="64">
        <v>5.7</v>
      </c>
      <c r="F84" s="64">
        <v>4.7</v>
      </c>
      <c r="G84" s="64">
        <v>5.2</v>
      </c>
      <c r="H84" s="63">
        <v>5.7</v>
      </c>
      <c r="I84" s="63">
        <v>6.5</v>
      </c>
      <c r="J84" s="63">
        <v>6.5</v>
      </c>
      <c r="K84" s="63">
        <v>8.3000000000000007</v>
      </c>
      <c r="L84" s="63">
        <v>9.4</v>
      </c>
      <c r="M84" s="63">
        <v>10.199999999999999</v>
      </c>
      <c r="N84" s="63">
        <v>10.6</v>
      </c>
      <c r="O84" s="63" t="s">
        <v>316</v>
      </c>
      <c r="P84" s="63">
        <f>N84-E84</f>
        <v>4.8999999999999995</v>
      </c>
      <c r="Q84" s="66">
        <f>(N84-E84)/E84</f>
        <v>0.85964912280701744</v>
      </c>
    </row>
    <row r="85" spans="1:17" ht="16" x14ac:dyDescent="0.2">
      <c r="A85" s="64">
        <v>226</v>
      </c>
      <c r="B85" s="64" t="s">
        <v>45</v>
      </c>
      <c r="C85" s="64" t="s">
        <v>304</v>
      </c>
      <c r="D85" s="65" t="s">
        <v>208</v>
      </c>
      <c r="E85" s="64">
        <v>5.0999999999999996</v>
      </c>
      <c r="F85" s="64">
        <v>6</v>
      </c>
      <c r="G85" s="64">
        <v>6.1</v>
      </c>
      <c r="H85" s="63">
        <v>7.3</v>
      </c>
      <c r="I85" s="63">
        <v>10.8</v>
      </c>
      <c r="J85" s="63">
        <v>11.4</v>
      </c>
      <c r="K85" s="63">
        <v>18.899999999999999</v>
      </c>
      <c r="L85" s="63">
        <v>23.4</v>
      </c>
      <c r="M85" s="63">
        <v>14.7</v>
      </c>
      <c r="N85" s="63">
        <v>14.9</v>
      </c>
      <c r="O85" s="63" t="s">
        <v>316</v>
      </c>
      <c r="P85" s="63">
        <f>N85-E85</f>
        <v>9.8000000000000007</v>
      </c>
      <c r="Q85" s="66">
        <f>(N85-E85)/E85</f>
        <v>1.9215686274509807</v>
      </c>
    </row>
    <row r="86" spans="1:17" ht="16" x14ac:dyDescent="0.2">
      <c r="A86" s="64">
        <v>227</v>
      </c>
      <c r="B86" s="64" t="s">
        <v>45</v>
      </c>
      <c r="C86" s="64" t="s">
        <v>304</v>
      </c>
      <c r="D86" s="65" t="s">
        <v>209</v>
      </c>
      <c r="E86" s="64">
        <v>6.3</v>
      </c>
      <c r="F86" s="64">
        <v>6</v>
      </c>
      <c r="G86" s="64">
        <v>6.8</v>
      </c>
      <c r="H86" s="63">
        <v>7.5</v>
      </c>
      <c r="I86" s="63">
        <v>8.3000000000000007</v>
      </c>
      <c r="J86" s="63">
        <v>8.1</v>
      </c>
      <c r="K86" s="63">
        <v>9.1999999999999993</v>
      </c>
      <c r="L86" s="63">
        <v>10.8</v>
      </c>
      <c r="M86" s="63">
        <v>10.3</v>
      </c>
      <c r="N86" s="63">
        <v>10.8</v>
      </c>
      <c r="O86" s="63" t="s">
        <v>316</v>
      </c>
      <c r="P86" s="63">
        <f>N86-E86</f>
        <v>4.5000000000000009</v>
      </c>
      <c r="Q86" s="66">
        <f>(N86-E86)/E86</f>
        <v>0.71428571428571441</v>
      </c>
    </row>
    <row r="87" spans="1:17" ht="16" x14ac:dyDescent="0.2">
      <c r="A87" s="64">
        <v>228</v>
      </c>
      <c r="B87" s="64" t="s">
        <v>45</v>
      </c>
      <c r="C87" s="64" t="s">
        <v>304</v>
      </c>
      <c r="D87" s="65" t="s">
        <v>208</v>
      </c>
      <c r="E87" s="64">
        <v>5</v>
      </c>
      <c r="F87" s="64">
        <v>5.5</v>
      </c>
      <c r="G87" s="64">
        <v>6.2</v>
      </c>
      <c r="H87" s="63">
        <v>7.2</v>
      </c>
      <c r="I87" s="63">
        <v>9.4</v>
      </c>
      <c r="J87" s="63">
        <v>11.1</v>
      </c>
      <c r="K87" s="63">
        <v>16.7</v>
      </c>
      <c r="L87" s="63">
        <v>23</v>
      </c>
      <c r="M87" s="63">
        <v>20.3</v>
      </c>
      <c r="N87" s="63">
        <v>23.3</v>
      </c>
      <c r="O87" s="63" t="s">
        <v>316</v>
      </c>
      <c r="P87" s="63">
        <f>N87-E87</f>
        <v>18.3</v>
      </c>
      <c r="Q87" s="66">
        <f>(N87-E87)/E87</f>
        <v>3.66</v>
      </c>
    </row>
    <row r="88" spans="1:17" ht="16" x14ac:dyDescent="0.2">
      <c r="A88" s="64">
        <v>229</v>
      </c>
      <c r="B88" s="64" t="s">
        <v>45</v>
      </c>
      <c r="C88" s="64" t="s">
        <v>304</v>
      </c>
      <c r="D88" s="65" t="s">
        <v>209</v>
      </c>
      <c r="E88" s="64">
        <v>5.9</v>
      </c>
      <c r="F88" s="64">
        <v>5.4</v>
      </c>
      <c r="G88" s="64">
        <v>5</v>
      </c>
      <c r="H88" s="63">
        <v>6.5</v>
      </c>
      <c r="I88" s="63">
        <v>6.2</v>
      </c>
      <c r="J88" s="63">
        <v>6.1</v>
      </c>
      <c r="K88" s="63">
        <v>8.1999999999999993</v>
      </c>
      <c r="L88" s="63">
        <v>9.6999999999999993</v>
      </c>
      <c r="M88" s="63">
        <v>9.9</v>
      </c>
      <c r="N88" s="63">
        <v>10.4</v>
      </c>
      <c r="O88" s="63" t="s">
        <v>316</v>
      </c>
      <c r="P88" s="63">
        <f>N88-E88</f>
        <v>4.5</v>
      </c>
      <c r="Q88" s="66">
        <f>(N88-E88)/E88</f>
        <v>0.76271186440677963</v>
      </c>
    </row>
    <row r="89" spans="1:17" ht="16" x14ac:dyDescent="0.2">
      <c r="A89" s="64">
        <v>230</v>
      </c>
      <c r="B89" s="64" t="s">
        <v>45</v>
      </c>
      <c r="C89" s="64" t="s">
        <v>304</v>
      </c>
      <c r="D89" s="65" t="s">
        <v>208</v>
      </c>
      <c r="E89" s="64">
        <v>5</v>
      </c>
      <c r="F89" s="64">
        <v>5.2</v>
      </c>
      <c r="G89" s="64">
        <v>5.0999999999999996</v>
      </c>
      <c r="H89" s="63">
        <v>7.3</v>
      </c>
      <c r="I89" s="63">
        <v>8.9</v>
      </c>
      <c r="J89" s="63">
        <v>11</v>
      </c>
      <c r="K89" s="63">
        <v>12.1</v>
      </c>
      <c r="L89" s="63">
        <v>14.1</v>
      </c>
      <c r="M89" s="63">
        <v>15</v>
      </c>
      <c r="N89" s="63">
        <v>15.7</v>
      </c>
      <c r="O89" s="63" t="s">
        <v>316</v>
      </c>
      <c r="P89" s="63">
        <f>N89-E89</f>
        <v>10.7</v>
      </c>
      <c r="Q89" s="66">
        <f>(N89-E89)/E89</f>
        <v>2.1399999999999997</v>
      </c>
    </row>
    <row r="90" spans="1:17" ht="16" x14ac:dyDescent="0.2">
      <c r="A90" s="64">
        <v>231</v>
      </c>
      <c r="B90" s="64" t="s">
        <v>45</v>
      </c>
      <c r="C90" s="64" t="s">
        <v>304</v>
      </c>
      <c r="D90" s="65" t="s">
        <v>209</v>
      </c>
      <c r="E90" s="64">
        <v>6.5</v>
      </c>
      <c r="F90" s="64">
        <v>5.5</v>
      </c>
      <c r="G90" s="64">
        <v>5.5</v>
      </c>
      <c r="H90" s="63">
        <v>6.7</v>
      </c>
      <c r="I90" s="63">
        <v>7</v>
      </c>
      <c r="J90" s="63">
        <v>6.6</v>
      </c>
      <c r="K90" s="63">
        <v>8.4</v>
      </c>
      <c r="L90" s="63">
        <v>8.6</v>
      </c>
      <c r="M90" s="63">
        <v>9.5</v>
      </c>
      <c r="N90" s="63">
        <v>8.8000000000000007</v>
      </c>
      <c r="O90" s="63" t="s">
        <v>316</v>
      </c>
      <c r="P90" s="63">
        <f>N90-E90</f>
        <v>2.3000000000000007</v>
      </c>
      <c r="Q90" s="66">
        <f>(N90-E90)/E90</f>
        <v>0.35384615384615398</v>
      </c>
    </row>
    <row r="91" spans="1:17" ht="16" x14ac:dyDescent="0.2">
      <c r="A91" s="64">
        <v>232</v>
      </c>
      <c r="B91" s="64" t="s">
        <v>45</v>
      </c>
      <c r="C91" s="64" t="s">
        <v>304</v>
      </c>
      <c r="D91" s="65" t="s">
        <v>208</v>
      </c>
      <c r="E91" s="64">
        <v>4.7</v>
      </c>
      <c r="F91" s="64">
        <v>5.4</v>
      </c>
      <c r="G91" s="64">
        <v>5.7</v>
      </c>
      <c r="H91" s="63">
        <v>7.3</v>
      </c>
      <c r="I91" s="63">
        <v>8.5</v>
      </c>
      <c r="J91" s="63">
        <v>8.6999999999999993</v>
      </c>
      <c r="K91" s="63">
        <v>14.8</v>
      </c>
      <c r="L91" s="63">
        <v>16.2</v>
      </c>
      <c r="M91" s="63">
        <v>17.8</v>
      </c>
      <c r="N91" s="63">
        <v>20</v>
      </c>
      <c r="O91" s="63" t="s">
        <v>316</v>
      </c>
      <c r="P91" s="63">
        <f>N91-E91</f>
        <v>15.3</v>
      </c>
      <c r="Q91" s="66">
        <f>(N91-E91)/E91</f>
        <v>3.2553191489361701</v>
      </c>
    </row>
    <row r="92" spans="1:17" ht="16" x14ac:dyDescent="0.2">
      <c r="A92" s="64">
        <v>233</v>
      </c>
      <c r="B92" s="64" t="s">
        <v>45</v>
      </c>
      <c r="C92" s="64" t="s">
        <v>304</v>
      </c>
      <c r="D92" s="65" t="s">
        <v>209</v>
      </c>
      <c r="E92" s="64">
        <v>5.0999999999999996</v>
      </c>
      <c r="F92" s="64">
        <v>4.8</v>
      </c>
      <c r="G92" s="64">
        <v>5.0999999999999996</v>
      </c>
      <c r="H92" s="63">
        <v>5.9</v>
      </c>
      <c r="I92" s="63">
        <v>6.5</v>
      </c>
      <c r="J92" s="63">
        <v>5.7</v>
      </c>
      <c r="K92" s="63">
        <v>8</v>
      </c>
      <c r="L92" s="63">
        <v>9</v>
      </c>
      <c r="M92" s="63">
        <v>9.4</v>
      </c>
      <c r="N92" s="63">
        <v>10.199999999999999</v>
      </c>
      <c r="O92" s="63" t="s">
        <v>316</v>
      </c>
      <c r="P92" s="63">
        <f>N92-E92</f>
        <v>5.0999999999999996</v>
      </c>
      <c r="Q92" s="66">
        <f>(N92-E92)/E92</f>
        <v>1</v>
      </c>
    </row>
    <row r="93" spans="1:17" ht="16" x14ac:dyDescent="0.2">
      <c r="A93" s="64">
        <v>234</v>
      </c>
      <c r="B93" s="64" t="s">
        <v>45</v>
      </c>
      <c r="C93" s="64" t="s">
        <v>304</v>
      </c>
      <c r="D93" s="65" t="s">
        <v>208</v>
      </c>
      <c r="E93" s="64">
        <v>4.5</v>
      </c>
      <c r="F93" s="64">
        <v>4.4000000000000004</v>
      </c>
      <c r="G93" s="64">
        <v>3.7</v>
      </c>
      <c r="H93" s="63">
        <v>5.6</v>
      </c>
      <c r="I93" s="63">
        <v>6.5</v>
      </c>
      <c r="J93" s="63">
        <v>8.1</v>
      </c>
      <c r="K93" s="63">
        <v>11.5</v>
      </c>
      <c r="L93" s="63">
        <v>14.8</v>
      </c>
      <c r="M93" s="63">
        <v>16</v>
      </c>
      <c r="N93" s="63">
        <v>16.899999999999999</v>
      </c>
      <c r="O93" s="63" t="s">
        <v>316</v>
      </c>
      <c r="P93" s="63">
        <f>N93-E93</f>
        <v>12.399999999999999</v>
      </c>
      <c r="Q93" s="66">
        <f>(N93-E93)/E93</f>
        <v>2.7555555555555551</v>
      </c>
    </row>
    <row r="94" spans="1:17" ht="16" x14ac:dyDescent="0.2">
      <c r="A94" s="64">
        <v>235</v>
      </c>
      <c r="B94" s="64" t="s">
        <v>310</v>
      </c>
      <c r="C94" s="64" t="s">
        <v>304</v>
      </c>
      <c r="D94" s="65" t="s">
        <v>209</v>
      </c>
      <c r="E94" s="64">
        <v>5.6</v>
      </c>
      <c r="F94" s="64">
        <v>4.5999999999999996</v>
      </c>
      <c r="G94" s="64">
        <v>4.0999999999999996</v>
      </c>
      <c r="H94" s="63">
        <v>5.4</v>
      </c>
      <c r="I94" s="63">
        <v>6.3</v>
      </c>
      <c r="J94" s="63">
        <v>6.9</v>
      </c>
      <c r="K94" s="63">
        <v>7.8</v>
      </c>
      <c r="L94" s="63">
        <v>9.4</v>
      </c>
      <c r="M94" s="63">
        <v>10.3</v>
      </c>
      <c r="N94" s="63">
        <v>10.199999999999999</v>
      </c>
      <c r="O94" s="63" t="s">
        <v>316</v>
      </c>
      <c r="P94" s="63">
        <f>N94-E94</f>
        <v>4.5999999999999996</v>
      </c>
      <c r="Q94" s="66">
        <f>(N94-E94)/E94</f>
        <v>0.8214285714285714</v>
      </c>
    </row>
    <row r="95" spans="1:17" ht="16" x14ac:dyDescent="0.2">
      <c r="A95" s="64">
        <v>236</v>
      </c>
      <c r="B95" s="64" t="s">
        <v>310</v>
      </c>
      <c r="C95" s="64" t="s">
        <v>304</v>
      </c>
      <c r="D95" s="65" t="s">
        <v>207</v>
      </c>
      <c r="E95" s="64">
        <v>5.9</v>
      </c>
      <c r="F95" s="64">
        <v>6.1</v>
      </c>
      <c r="G95" s="64">
        <v>5.3</v>
      </c>
      <c r="H95" s="63">
        <v>6.3</v>
      </c>
      <c r="I95" s="63">
        <v>6.9</v>
      </c>
      <c r="J95" s="63">
        <v>7</v>
      </c>
      <c r="K95" s="63">
        <v>8.6</v>
      </c>
      <c r="L95" s="63">
        <v>10.1</v>
      </c>
      <c r="M95" s="63">
        <v>11</v>
      </c>
      <c r="N95" s="63">
        <v>11.6</v>
      </c>
      <c r="O95" s="63" t="s">
        <v>316</v>
      </c>
      <c r="P95" s="63">
        <f>N95-E95</f>
        <v>5.6999999999999993</v>
      </c>
      <c r="Q95" s="66">
        <f>(N95-E95)/E95</f>
        <v>0.96610169491525411</v>
      </c>
    </row>
    <row r="96" spans="1:17" ht="16" x14ac:dyDescent="0.2">
      <c r="A96" s="64">
        <v>237</v>
      </c>
      <c r="B96" s="64" t="s">
        <v>310</v>
      </c>
      <c r="C96" s="64" t="s">
        <v>304</v>
      </c>
      <c r="D96" s="65" t="s">
        <v>209</v>
      </c>
      <c r="E96" s="64">
        <v>6.3</v>
      </c>
      <c r="F96" s="64">
        <v>6.2</v>
      </c>
      <c r="G96" s="64">
        <v>5.8</v>
      </c>
      <c r="H96" s="63">
        <v>7.4</v>
      </c>
      <c r="I96" s="63">
        <v>8.1</v>
      </c>
      <c r="J96" s="63">
        <v>7.5</v>
      </c>
      <c r="K96" s="63">
        <v>9.1999999999999993</v>
      </c>
      <c r="L96" s="63">
        <v>9.8000000000000007</v>
      </c>
      <c r="M96" s="63">
        <v>11.5</v>
      </c>
      <c r="N96" s="63">
        <v>10.7</v>
      </c>
      <c r="O96" s="63" t="s">
        <v>316</v>
      </c>
      <c r="P96" s="63">
        <f>N96-E96</f>
        <v>4.3999999999999995</v>
      </c>
      <c r="Q96" s="66">
        <f>(N96-E96)/E96</f>
        <v>0.69841269841269837</v>
      </c>
    </row>
    <row r="97" spans="1:17" ht="16" x14ac:dyDescent="0.2">
      <c r="A97" s="64">
        <v>238</v>
      </c>
      <c r="B97" s="64" t="s">
        <v>310</v>
      </c>
      <c r="C97" s="64" t="s">
        <v>304</v>
      </c>
      <c r="D97" s="65" t="s">
        <v>207</v>
      </c>
      <c r="E97" s="64">
        <v>5.0999999999999996</v>
      </c>
      <c r="F97" s="64">
        <v>5.5</v>
      </c>
      <c r="G97" s="64">
        <v>6.4</v>
      </c>
      <c r="H97" s="63">
        <v>6.7</v>
      </c>
      <c r="I97" s="63">
        <v>7.4</v>
      </c>
      <c r="J97" s="63">
        <v>7</v>
      </c>
      <c r="K97" s="63">
        <v>8.4</v>
      </c>
      <c r="L97" s="63">
        <v>9.5</v>
      </c>
      <c r="M97" s="63">
        <v>12.9</v>
      </c>
      <c r="N97" s="63">
        <v>11.9</v>
      </c>
      <c r="O97" s="63" t="s">
        <v>316</v>
      </c>
      <c r="P97" s="63">
        <f>N97-E97</f>
        <v>6.8000000000000007</v>
      </c>
      <c r="Q97" s="66">
        <f>(N97-E97)/E97</f>
        <v>1.3333333333333335</v>
      </c>
    </row>
    <row r="98" spans="1:17" ht="16" x14ac:dyDescent="0.2">
      <c r="A98" s="64">
        <v>239</v>
      </c>
      <c r="B98" s="64" t="s">
        <v>310</v>
      </c>
      <c r="C98" s="64" t="s">
        <v>304</v>
      </c>
      <c r="D98" s="65" t="s">
        <v>209</v>
      </c>
      <c r="E98" s="64">
        <v>6.3</v>
      </c>
      <c r="F98" s="64">
        <v>6.5</v>
      </c>
      <c r="G98" s="64">
        <v>5.9</v>
      </c>
      <c r="H98" s="63">
        <v>7.1</v>
      </c>
      <c r="I98" s="63">
        <v>8.1</v>
      </c>
      <c r="J98" s="63">
        <v>8.3000000000000007</v>
      </c>
      <c r="K98" s="63">
        <v>10.199999999999999</v>
      </c>
      <c r="L98" s="63">
        <v>11.2</v>
      </c>
      <c r="M98" s="63">
        <v>13.3</v>
      </c>
      <c r="N98" s="63">
        <v>12.3</v>
      </c>
      <c r="O98" s="63" t="s">
        <v>316</v>
      </c>
      <c r="P98" s="63">
        <f>N98-E98</f>
        <v>6.0000000000000009</v>
      </c>
      <c r="Q98" s="66">
        <f>(N98-E98)/E98</f>
        <v>0.95238095238095255</v>
      </c>
    </row>
    <row r="99" spans="1:17" ht="16" x14ac:dyDescent="0.2">
      <c r="A99" s="64">
        <v>240</v>
      </c>
      <c r="B99" s="64" t="s">
        <v>310</v>
      </c>
      <c r="C99" s="64" t="s">
        <v>304</v>
      </c>
      <c r="D99" s="65" t="s">
        <v>207</v>
      </c>
      <c r="E99" s="64">
        <v>5</v>
      </c>
      <c r="F99" s="64">
        <v>5.5</v>
      </c>
      <c r="G99" s="64">
        <v>6.7</v>
      </c>
      <c r="H99" s="63">
        <v>5.8</v>
      </c>
      <c r="I99" s="63">
        <v>7.3</v>
      </c>
      <c r="J99" s="63">
        <v>7.8</v>
      </c>
      <c r="K99" s="63">
        <v>8.6</v>
      </c>
      <c r="L99" s="63">
        <v>0</v>
      </c>
      <c r="M99" s="63">
        <v>0</v>
      </c>
      <c r="N99" s="63">
        <v>0</v>
      </c>
      <c r="O99" s="63" t="s">
        <v>306</v>
      </c>
      <c r="P99" s="63">
        <f>N99-E99</f>
        <v>-5</v>
      </c>
      <c r="Q99" s="66">
        <f>(N99-E99)/E99</f>
        <v>-1</v>
      </c>
    </row>
    <row r="100" spans="1:17" ht="16" x14ac:dyDescent="0.2">
      <c r="A100" s="64">
        <v>241</v>
      </c>
      <c r="B100" s="64" t="s">
        <v>310</v>
      </c>
      <c r="C100" s="64" t="s">
        <v>304</v>
      </c>
      <c r="D100" s="65" t="s">
        <v>209</v>
      </c>
      <c r="E100" s="64">
        <v>5.3</v>
      </c>
      <c r="F100" s="64">
        <v>5.2</v>
      </c>
      <c r="G100" s="64">
        <v>5.5</v>
      </c>
      <c r="H100" s="63">
        <v>6.1</v>
      </c>
      <c r="I100" s="63">
        <v>7.5</v>
      </c>
      <c r="J100" s="63">
        <v>6.6</v>
      </c>
      <c r="K100" s="63">
        <v>6.9</v>
      </c>
      <c r="L100" s="63">
        <v>9.1</v>
      </c>
      <c r="M100" s="63">
        <v>10.199999999999999</v>
      </c>
      <c r="N100" s="63">
        <v>10.199999999999999</v>
      </c>
      <c r="O100" s="63" t="s">
        <v>316</v>
      </c>
      <c r="P100" s="63">
        <f>N100-E100</f>
        <v>4.8999999999999995</v>
      </c>
      <c r="Q100" s="66">
        <f>(N100-E100)/E100</f>
        <v>0.92452830188679236</v>
      </c>
    </row>
    <row r="101" spans="1:17" ht="16" x14ac:dyDescent="0.2">
      <c r="A101" s="64">
        <v>242</v>
      </c>
      <c r="B101" s="64" t="s">
        <v>310</v>
      </c>
      <c r="C101" s="64" t="s">
        <v>304</v>
      </c>
      <c r="D101" s="65" t="s">
        <v>207</v>
      </c>
      <c r="E101" s="64">
        <v>6.1</v>
      </c>
      <c r="F101" s="64">
        <v>6.4</v>
      </c>
      <c r="G101" s="64">
        <v>6.3</v>
      </c>
      <c r="H101" s="63">
        <v>5.4</v>
      </c>
      <c r="I101" s="63">
        <v>6.2</v>
      </c>
      <c r="J101" s="63">
        <v>6.4</v>
      </c>
      <c r="K101" s="63">
        <v>5.3</v>
      </c>
      <c r="L101" s="67">
        <v>7</v>
      </c>
      <c r="M101" s="63">
        <v>7</v>
      </c>
      <c r="N101" s="63">
        <v>7.2</v>
      </c>
      <c r="O101" s="63" t="s">
        <v>316</v>
      </c>
      <c r="P101" s="63">
        <f>N101-E101</f>
        <v>1.1000000000000005</v>
      </c>
      <c r="Q101" s="66">
        <f>(N101-E101)/E101</f>
        <v>0.18032786885245911</v>
      </c>
    </row>
    <row r="102" spans="1:17" ht="16" x14ac:dyDescent="0.2">
      <c r="A102" s="64">
        <v>243</v>
      </c>
      <c r="B102" s="64" t="s">
        <v>310</v>
      </c>
      <c r="C102" s="64" t="s">
        <v>304</v>
      </c>
      <c r="D102" s="65" t="s">
        <v>209</v>
      </c>
      <c r="E102" s="64">
        <v>5.4</v>
      </c>
      <c r="F102" s="64">
        <v>5.4</v>
      </c>
      <c r="G102" s="64">
        <v>5.6</v>
      </c>
      <c r="H102" s="63">
        <v>5.9</v>
      </c>
      <c r="I102" s="63">
        <v>6.7</v>
      </c>
      <c r="J102" s="63">
        <v>5.5</v>
      </c>
      <c r="K102" s="63">
        <v>7.1</v>
      </c>
      <c r="L102" s="63">
        <v>9.1</v>
      </c>
      <c r="M102" s="63">
        <v>9.8000000000000007</v>
      </c>
      <c r="N102" s="63">
        <v>9.9</v>
      </c>
      <c r="O102" s="63" t="s">
        <v>316</v>
      </c>
      <c r="P102" s="63">
        <f>N102-E102</f>
        <v>4.5</v>
      </c>
      <c r="Q102" s="66">
        <f>(N102-E102)/E102</f>
        <v>0.83333333333333326</v>
      </c>
    </row>
    <row r="103" spans="1:17" ht="16" x14ac:dyDescent="0.2">
      <c r="A103" s="64">
        <v>244</v>
      </c>
      <c r="B103" s="64" t="s">
        <v>310</v>
      </c>
      <c r="C103" s="64" t="s">
        <v>304</v>
      </c>
      <c r="D103" s="65" t="s">
        <v>207</v>
      </c>
      <c r="E103" s="64">
        <v>4</v>
      </c>
      <c r="F103" s="64">
        <v>3.7</v>
      </c>
      <c r="G103" s="64">
        <v>4.4000000000000004</v>
      </c>
      <c r="H103" s="63">
        <v>4.9000000000000004</v>
      </c>
      <c r="I103" s="63">
        <v>6.1</v>
      </c>
      <c r="J103" s="63">
        <v>6.5</v>
      </c>
      <c r="K103" s="63">
        <v>6.8</v>
      </c>
      <c r="L103" s="67">
        <v>7.7</v>
      </c>
      <c r="M103" s="63">
        <v>8.4</v>
      </c>
      <c r="N103" s="63">
        <v>9.6999999999999993</v>
      </c>
      <c r="O103" s="63" t="s">
        <v>316</v>
      </c>
      <c r="P103" s="63">
        <f>N103-E103</f>
        <v>5.6999999999999993</v>
      </c>
      <c r="Q103" s="66">
        <f>(N103-E103)/E103</f>
        <v>1.4249999999999998</v>
      </c>
    </row>
    <row r="104" spans="1:17" ht="16" x14ac:dyDescent="0.2">
      <c r="A104" s="64">
        <v>245</v>
      </c>
      <c r="B104" s="64" t="s">
        <v>310</v>
      </c>
      <c r="C104" s="64" t="s">
        <v>304</v>
      </c>
      <c r="D104" s="65" t="s">
        <v>209</v>
      </c>
      <c r="E104" s="64">
        <v>4.7</v>
      </c>
      <c r="F104" s="64">
        <v>5.6</v>
      </c>
      <c r="G104" s="64">
        <v>6</v>
      </c>
      <c r="H104" s="63">
        <v>7.1</v>
      </c>
      <c r="I104" s="63">
        <v>7.7</v>
      </c>
      <c r="J104" s="63">
        <v>8.6999999999999993</v>
      </c>
      <c r="K104" s="63">
        <v>9.5</v>
      </c>
      <c r="L104" s="63">
        <v>10.9</v>
      </c>
      <c r="M104" s="63">
        <v>11.3</v>
      </c>
      <c r="N104" s="63">
        <v>12</v>
      </c>
      <c r="O104" s="63" t="s">
        <v>316</v>
      </c>
      <c r="P104" s="63">
        <f>N104-E104</f>
        <v>7.3</v>
      </c>
      <c r="Q104" s="66">
        <f>(N104-E104)/E104</f>
        <v>1.553191489361702</v>
      </c>
    </row>
    <row r="105" spans="1:17" ht="16" x14ac:dyDescent="0.2">
      <c r="A105" s="64">
        <v>246</v>
      </c>
      <c r="B105" s="64" t="s">
        <v>310</v>
      </c>
      <c r="C105" s="64" t="s">
        <v>304</v>
      </c>
      <c r="D105" s="65" t="s">
        <v>207</v>
      </c>
      <c r="E105" s="64">
        <v>4.3</v>
      </c>
      <c r="F105" s="64">
        <v>4.2</v>
      </c>
      <c r="G105" s="64">
        <v>4.5</v>
      </c>
      <c r="H105" s="63">
        <v>5.6</v>
      </c>
      <c r="I105" s="63">
        <v>7</v>
      </c>
      <c r="J105" s="63">
        <v>8</v>
      </c>
      <c r="K105" s="63">
        <v>8.6</v>
      </c>
      <c r="L105" s="63">
        <v>5.5</v>
      </c>
      <c r="M105" s="63">
        <v>10.7</v>
      </c>
      <c r="N105" s="63">
        <v>10.7</v>
      </c>
      <c r="O105" s="63" t="s">
        <v>316</v>
      </c>
      <c r="P105" s="63">
        <f>N105-E105</f>
        <v>6.3999999999999995</v>
      </c>
      <c r="Q105" s="66">
        <f>(N105-E105)/E105</f>
        <v>1.4883720930232558</v>
      </c>
    </row>
    <row r="106" spans="1:17" ht="16" x14ac:dyDescent="0.2">
      <c r="A106" s="64">
        <v>247</v>
      </c>
      <c r="B106" s="64" t="s">
        <v>310</v>
      </c>
      <c r="C106" s="64" t="s">
        <v>304</v>
      </c>
      <c r="D106" s="65" t="s">
        <v>207</v>
      </c>
      <c r="E106" s="64">
        <v>5.2</v>
      </c>
      <c r="F106" s="64">
        <v>5.2</v>
      </c>
      <c r="G106" s="64">
        <v>6.3</v>
      </c>
      <c r="H106" s="63">
        <v>7.1</v>
      </c>
      <c r="I106" s="63">
        <v>9.6</v>
      </c>
      <c r="J106" s="63">
        <v>9.3000000000000007</v>
      </c>
      <c r="K106" s="63">
        <v>11.1</v>
      </c>
      <c r="L106" s="63">
        <v>14.3</v>
      </c>
      <c r="M106" s="63">
        <v>16.600000000000001</v>
      </c>
      <c r="N106" s="63">
        <v>15.4</v>
      </c>
      <c r="O106" s="63" t="s">
        <v>316</v>
      </c>
      <c r="P106" s="63">
        <f>N106-E106</f>
        <v>10.199999999999999</v>
      </c>
      <c r="Q106" s="66">
        <f>(N106-E106)/E106</f>
        <v>1.9615384615384612</v>
      </c>
    </row>
    <row r="107" spans="1:17" ht="16" x14ac:dyDescent="0.2">
      <c r="A107" s="64">
        <v>248</v>
      </c>
      <c r="B107" s="64" t="s">
        <v>310</v>
      </c>
      <c r="C107" s="64" t="s">
        <v>304</v>
      </c>
      <c r="D107" s="65" t="s">
        <v>209</v>
      </c>
      <c r="E107" s="64">
        <v>5.9</v>
      </c>
      <c r="F107" s="64">
        <v>5.4</v>
      </c>
      <c r="G107" s="64">
        <v>5.5</v>
      </c>
      <c r="H107" s="63">
        <v>6.2</v>
      </c>
      <c r="I107" s="63">
        <v>6.3</v>
      </c>
      <c r="J107" s="63">
        <v>6.6</v>
      </c>
      <c r="K107" s="63">
        <v>8.1999999999999993</v>
      </c>
      <c r="L107" s="63">
        <v>8.8000000000000007</v>
      </c>
      <c r="M107" s="63">
        <v>10.8</v>
      </c>
      <c r="N107" s="63">
        <v>10.6</v>
      </c>
      <c r="O107" s="63" t="s">
        <v>316</v>
      </c>
      <c r="P107" s="63">
        <f>N107-E107</f>
        <v>4.6999999999999993</v>
      </c>
      <c r="Q107" s="66">
        <f>(N107-E107)/E107</f>
        <v>0.7966101694915253</v>
      </c>
    </row>
    <row r="108" spans="1:17" ht="16" x14ac:dyDescent="0.2">
      <c r="A108" s="64">
        <v>249</v>
      </c>
      <c r="B108" s="64" t="s">
        <v>310</v>
      </c>
      <c r="C108" s="64" t="s">
        <v>304</v>
      </c>
      <c r="D108" s="65" t="s">
        <v>207</v>
      </c>
      <c r="E108" s="64">
        <v>5.3</v>
      </c>
      <c r="F108" s="64">
        <v>4.9000000000000004</v>
      </c>
      <c r="G108" s="64">
        <v>6.3</v>
      </c>
      <c r="H108" s="63">
        <v>7.5</v>
      </c>
      <c r="I108" s="63">
        <v>8.1999999999999993</v>
      </c>
      <c r="J108" s="63">
        <v>8.1999999999999993</v>
      </c>
      <c r="K108" s="63">
        <v>9.3000000000000007</v>
      </c>
      <c r="L108" s="63">
        <v>12.2</v>
      </c>
      <c r="M108" s="63">
        <v>13</v>
      </c>
      <c r="N108" s="63">
        <v>11.5</v>
      </c>
      <c r="O108" s="63" t="s">
        <v>316</v>
      </c>
      <c r="P108" s="63">
        <f>N108-E108</f>
        <v>6.2</v>
      </c>
      <c r="Q108" s="66">
        <f>(N108-E108)/E108</f>
        <v>1.1698113207547169</v>
      </c>
    </row>
    <row r="109" spans="1:17" ht="16" x14ac:dyDescent="0.2">
      <c r="A109" s="64">
        <v>250</v>
      </c>
      <c r="B109" s="64" t="s">
        <v>310</v>
      </c>
      <c r="C109" s="64" t="s">
        <v>304</v>
      </c>
      <c r="D109" s="65" t="s">
        <v>209</v>
      </c>
      <c r="E109" s="64">
        <v>6.8</v>
      </c>
      <c r="F109" s="64">
        <v>5.0999999999999996</v>
      </c>
      <c r="G109" s="64">
        <v>7.2</v>
      </c>
      <c r="H109" s="63">
        <v>8.1</v>
      </c>
      <c r="I109" s="63">
        <v>8.3000000000000007</v>
      </c>
      <c r="J109" s="63">
        <v>9.1999999999999993</v>
      </c>
      <c r="K109" s="63">
        <v>11.8</v>
      </c>
      <c r="L109" s="63">
        <v>12.3</v>
      </c>
      <c r="M109" s="63">
        <v>13.8</v>
      </c>
      <c r="N109" s="63">
        <v>14</v>
      </c>
      <c r="O109" s="63" t="s">
        <v>316</v>
      </c>
      <c r="P109" s="63">
        <f>N109-E109</f>
        <v>7.2</v>
      </c>
      <c r="Q109" s="66">
        <f>(N109-E109)/E109</f>
        <v>1.0588235294117647</v>
      </c>
    </row>
    <row r="110" spans="1:17" ht="16" x14ac:dyDescent="0.2">
      <c r="A110" s="64">
        <v>251</v>
      </c>
      <c r="B110" s="64" t="s">
        <v>310</v>
      </c>
      <c r="C110" s="64" t="s">
        <v>304</v>
      </c>
      <c r="D110" s="65" t="s">
        <v>207</v>
      </c>
      <c r="E110" s="64">
        <v>5.6</v>
      </c>
      <c r="F110" s="64">
        <v>4.7</v>
      </c>
      <c r="G110" s="64">
        <v>5.8</v>
      </c>
      <c r="H110" s="63">
        <v>6.4</v>
      </c>
      <c r="I110" s="63">
        <v>6.9</v>
      </c>
      <c r="J110" s="63">
        <v>8</v>
      </c>
      <c r="K110" s="63">
        <v>9.6999999999999993</v>
      </c>
      <c r="L110" s="63">
        <v>9.3000000000000007</v>
      </c>
      <c r="M110" s="63">
        <v>9.9</v>
      </c>
      <c r="N110" s="63">
        <v>10.6</v>
      </c>
      <c r="O110" s="63" t="s">
        <v>316</v>
      </c>
      <c r="P110" s="63">
        <f>N110-E110</f>
        <v>5</v>
      </c>
      <c r="Q110" s="66">
        <f>(N110-E110)/E110</f>
        <v>0.8928571428571429</v>
      </c>
    </row>
    <row r="111" spans="1:17" ht="16" x14ac:dyDescent="0.2">
      <c r="A111" s="64">
        <v>252</v>
      </c>
      <c r="B111" s="64" t="s">
        <v>310</v>
      </c>
      <c r="C111" s="64" t="s">
        <v>304</v>
      </c>
      <c r="D111" s="65" t="s">
        <v>209</v>
      </c>
      <c r="E111" s="64">
        <v>4.8</v>
      </c>
      <c r="F111" s="64">
        <v>5.0999999999999996</v>
      </c>
      <c r="G111" s="64">
        <v>4.7</v>
      </c>
      <c r="H111" s="63">
        <v>5</v>
      </c>
      <c r="I111" s="63">
        <v>5.4</v>
      </c>
      <c r="J111" s="63">
        <v>0</v>
      </c>
      <c r="K111" s="63">
        <v>0</v>
      </c>
      <c r="L111" s="63">
        <v>0</v>
      </c>
      <c r="M111" s="63">
        <v>0</v>
      </c>
      <c r="N111" s="63">
        <v>0</v>
      </c>
      <c r="O111" s="63" t="s">
        <v>305</v>
      </c>
      <c r="P111" s="63">
        <f>N111-E111</f>
        <v>-4.8</v>
      </c>
      <c r="Q111" s="66">
        <f>(N111-E111)/E111</f>
        <v>-1</v>
      </c>
    </row>
    <row r="112" spans="1:17" ht="16" x14ac:dyDescent="0.2">
      <c r="A112" s="64">
        <v>289</v>
      </c>
      <c r="B112" s="64" t="s">
        <v>311</v>
      </c>
      <c r="C112" s="64" t="s">
        <v>304</v>
      </c>
      <c r="D112" s="65" t="s">
        <v>208</v>
      </c>
      <c r="E112" s="64">
        <v>7.5</v>
      </c>
      <c r="F112" s="64">
        <v>8.6</v>
      </c>
      <c r="G112" s="64">
        <v>9.3000000000000007</v>
      </c>
      <c r="H112" s="63">
        <v>11.2</v>
      </c>
      <c r="I112" s="63">
        <v>12.3</v>
      </c>
      <c r="J112" s="63">
        <v>13.2</v>
      </c>
      <c r="K112" s="63">
        <v>16.3</v>
      </c>
      <c r="L112" s="63">
        <v>19.7</v>
      </c>
      <c r="M112" s="63">
        <v>21.4</v>
      </c>
      <c r="N112" s="63">
        <v>19.7</v>
      </c>
      <c r="O112" s="63" t="s">
        <v>316</v>
      </c>
      <c r="P112" s="63">
        <f>N112-E112</f>
        <v>12.2</v>
      </c>
      <c r="Q112" s="66">
        <f>(N112-E112)/E112</f>
        <v>1.6266666666666665</v>
      </c>
    </row>
    <row r="113" spans="1:17" ht="16" x14ac:dyDescent="0.2">
      <c r="A113" s="64">
        <v>290</v>
      </c>
      <c r="B113" s="64" t="s">
        <v>311</v>
      </c>
      <c r="C113" s="64" t="s">
        <v>304</v>
      </c>
      <c r="D113" s="65" t="s">
        <v>207</v>
      </c>
      <c r="E113" s="64">
        <v>4.9000000000000004</v>
      </c>
      <c r="F113" s="64">
        <v>5</v>
      </c>
      <c r="G113" s="64">
        <v>5.2</v>
      </c>
      <c r="H113" s="63">
        <v>5.9</v>
      </c>
      <c r="I113" s="63">
        <v>6.2</v>
      </c>
      <c r="J113" s="63">
        <v>5.5</v>
      </c>
      <c r="K113" s="63">
        <v>0</v>
      </c>
      <c r="L113" s="63">
        <v>0</v>
      </c>
      <c r="M113" s="63">
        <v>0</v>
      </c>
      <c r="N113" s="63">
        <v>0</v>
      </c>
      <c r="O113" s="63" t="s">
        <v>305</v>
      </c>
      <c r="P113" s="63">
        <f>N113-E113</f>
        <v>-4.9000000000000004</v>
      </c>
      <c r="Q113" s="66">
        <f>(N113-E113)/E113</f>
        <v>-1</v>
      </c>
    </row>
    <row r="114" spans="1:17" ht="16" x14ac:dyDescent="0.2">
      <c r="A114" s="64">
        <v>291</v>
      </c>
      <c r="B114" s="64" t="s">
        <v>311</v>
      </c>
      <c r="C114" s="64" t="s">
        <v>304</v>
      </c>
      <c r="D114" s="65" t="s">
        <v>208</v>
      </c>
      <c r="E114" s="64">
        <v>6.3</v>
      </c>
      <c r="F114" s="64">
        <v>7.1</v>
      </c>
      <c r="G114" s="64">
        <v>8.3000000000000007</v>
      </c>
      <c r="H114" s="63">
        <v>8.5</v>
      </c>
      <c r="I114" s="63">
        <v>8.3000000000000007</v>
      </c>
      <c r="J114" s="63">
        <v>9.4</v>
      </c>
      <c r="K114" s="63">
        <v>5.8</v>
      </c>
      <c r="L114" s="63">
        <v>12.9</v>
      </c>
      <c r="M114" s="63">
        <v>14.4</v>
      </c>
      <c r="N114" s="63">
        <v>15.7</v>
      </c>
      <c r="O114" s="63" t="s">
        <v>316</v>
      </c>
      <c r="P114" s="63">
        <f>N114-E114</f>
        <v>9.3999999999999986</v>
      </c>
      <c r="Q114" s="66">
        <f>(N114-E114)/E114</f>
        <v>1.4920634920634919</v>
      </c>
    </row>
    <row r="115" spans="1:17" ht="16" x14ac:dyDescent="0.2">
      <c r="A115" s="64">
        <v>292</v>
      </c>
      <c r="B115" s="64" t="s">
        <v>311</v>
      </c>
      <c r="C115" s="64" t="s">
        <v>304</v>
      </c>
      <c r="D115" s="65" t="s">
        <v>207</v>
      </c>
      <c r="E115" s="64">
        <v>5</v>
      </c>
      <c r="F115" s="63">
        <v>0</v>
      </c>
      <c r="G115" s="63">
        <v>0</v>
      </c>
      <c r="H115" s="63">
        <v>0</v>
      </c>
      <c r="I115" s="63">
        <v>0</v>
      </c>
      <c r="J115" s="63">
        <v>0</v>
      </c>
      <c r="K115" s="63">
        <v>0</v>
      </c>
      <c r="L115" s="63">
        <v>0</v>
      </c>
      <c r="M115" s="63">
        <v>0</v>
      </c>
      <c r="N115" s="64">
        <v>0</v>
      </c>
      <c r="O115" s="64" t="s">
        <v>305</v>
      </c>
      <c r="P115" s="63">
        <f>N115-E115</f>
        <v>-5</v>
      </c>
      <c r="Q115" s="66">
        <f>(N115-E115)/E115</f>
        <v>-1</v>
      </c>
    </row>
    <row r="116" spans="1:17" ht="16" x14ac:dyDescent="0.2">
      <c r="A116" s="64">
        <v>293</v>
      </c>
      <c r="B116" s="64" t="s">
        <v>311</v>
      </c>
      <c r="C116" s="64" t="s">
        <v>304</v>
      </c>
      <c r="D116" s="65" t="s">
        <v>208</v>
      </c>
      <c r="E116" s="64">
        <v>6.4</v>
      </c>
      <c r="F116" s="64">
        <v>7.2</v>
      </c>
      <c r="G116" s="64">
        <v>7.8</v>
      </c>
      <c r="H116" s="63">
        <v>9</v>
      </c>
      <c r="I116" s="63">
        <v>9.8000000000000007</v>
      </c>
      <c r="J116" s="63">
        <v>12.1</v>
      </c>
      <c r="K116" s="63">
        <v>11.8</v>
      </c>
      <c r="L116" s="63">
        <v>18.8</v>
      </c>
      <c r="M116" s="63">
        <v>20.100000000000001</v>
      </c>
      <c r="N116" s="63">
        <v>23.5</v>
      </c>
      <c r="O116" s="63" t="s">
        <v>316</v>
      </c>
      <c r="P116" s="63">
        <f>N116-E116</f>
        <v>17.100000000000001</v>
      </c>
      <c r="Q116" s="66">
        <f>(N116-E116)/E116</f>
        <v>2.671875</v>
      </c>
    </row>
    <row r="117" spans="1:17" ht="16" x14ac:dyDescent="0.2">
      <c r="A117" s="64">
        <v>294</v>
      </c>
      <c r="B117" s="64" t="s">
        <v>311</v>
      </c>
      <c r="C117" s="64" t="s">
        <v>304</v>
      </c>
      <c r="D117" s="65" t="s">
        <v>207</v>
      </c>
      <c r="E117" s="64">
        <v>5.9</v>
      </c>
      <c r="F117" s="64">
        <v>5.6</v>
      </c>
      <c r="G117" s="64">
        <v>6.1</v>
      </c>
      <c r="H117" s="63">
        <v>5.9</v>
      </c>
      <c r="I117" s="63">
        <v>0</v>
      </c>
      <c r="J117" s="63">
        <v>0</v>
      </c>
      <c r="K117" s="63">
        <v>0</v>
      </c>
      <c r="L117" s="63">
        <v>0</v>
      </c>
      <c r="M117" s="63">
        <v>0</v>
      </c>
      <c r="N117" s="63">
        <v>0</v>
      </c>
      <c r="O117" s="63" t="s">
        <v>306</v>
      </c>
      <c r="P117" s="63">
        <f>N117-E117</f>
        <v>-5.9</v>
      </c>
      <c r="Q117" s="66">
        <f>(N117-E117)/E117</f>
        <v>-1</v>
      </c>
    </row>
    <row r="118" spans="1:17" ht="16" x14ac:dyDescent="0.2">
      <c r="A118" s="64">
        <v>295</v>
      </c>
      <c r="B118" s="64" t="s">
        <v>311</v>
      </c>
      <c r="C118" s="64" t="s">
        <v>304</v>
      </c>
      <c r="D118" s="65" t="s">
        <v>207</v>
      </c>
      <c r="E118" s="64">
        <v>4.9000000000000004</v>
      </c>
      <c r="F118" s="64">
        <v>5.2</v>
      </c>
      <c r="G118" s="64">
        <v>5.4</v>
      </c>
      <c r="H118" s="63">
        <v>4.8</v>
      </c>
      <c r="I118" s="63">
        <v>0</v>
      </c>
      <c r="J118" s="63">
        <v>0</v>
      </c>
      <c r="K118" s="63">
        <v>0</v>
      </c>
      <c r="L118" s="63">
        <v>0</v>
      </c>
      <c r="M118" s="63">
        <v>0</v>
      </c>
      <c r="N118" s="63">
        <v>0</v>
      </c>
      <c r="O118" s="63" t="s">
        <v>305</v>
      </c>
      <c r="P118" s="63">
        <f>N118-E118</f>
        <v>-4.9000000000000004</v>
      </c>
      <c r="Q118" s="66">
        <f>(N118-E118)/E118</f>
        <v>-1</v>
      </c>
    </row>
    <row r="119" spans="1:17" ht="16" x14ac:dyDescent="0.2">
      <c r="A119" s="64">
        <v>296</v>
      </c>
      <c r="B119" s="64" t="s">
        <v>311</v>
      </c>
      <c r="C119" s="64" t="s">
        <v>304</v>
      </c>
      <c r="D119" s="65" t="s">
        <v>208</v>
      </c>
      <c r="E119" s="64">
        <v>6</v>
      </c>
      <c r="F119" s="64">
        <v>7.4</v>
      </c>
      <c r="G119" s="64">
        <v>8.1999999999999993</v>
      </c>
      <c r="H119" s="63">
        <v>7.3</v>
      </c>
      <c r="I119" s="63">
        <v>8.6999999999999993</v>
      </c>
      <c r="J119" s="63">
        <v>8.6</v>
      </c>
      <c r="K119" s="63">
        <v>10.8</v>
      </c>
      <c r="L119" s="63">
        <v>15.1</v>
      </c>
      <c r="M119" s="63">
        <v>16.899999999999999</v>
      </c>
      <c r="N119" s="63">
        <v>18.600000000000001</v>
      </c>
      <c r="O119" s="63" t="s">
        <v>316</v>
      </c>
      <c r="P119" s="63">
        <f>N119-E119</f>
        <v>12.600000000000001</v>
      </c>
      <c r="Q119" s="66">
        <f>(N119-E119)/E119</f>
        <v>2.1</v>
      </c>
    </row>
    <row r="120" spans="1:17" ht="16" x14ac:dyDescent="0.2">
      <c r="A120" s="64">
        <v>297</v>
      </c>
      <c r="B120" s="64" t="s">
        <v>311</v>
      </c>
      <c r="C120" s="64" t="s">
        <v>304</v>
      </c>
      <c r="D120" s="65" t="s">
        <v>207</v>
      </c>
      <c r="E120" s="64">
        <v>6</v>
      </c>
      <c r="F120" s="64">
        <v>5.4</v>
      </c>
      <c r="G120" s="64">
        <v>5.6</v>
      </c>
      <c r="H120" s="63">
        <v>5.9</v>
      </c>
      <c r="I120" s="63">
        <v>5.7</v>
      </c>
      <c r="J120" s="63">
        <v>5.4</v>
      </c>
      <c r="K120" s="63">
        <v>4.9000000000000004</v>
      </c>
      <c r="L120" s="63">
        <v>0</v>
      </c>
      <c r="M120" s="63">
        <v>0</v>
      </c>
      <c r="N120" s="63">
        <v>0</v>
      </c>
      <c r="O120" s="63" t="s">
        <v>305</v>
      </c>
      <c r="P120" s="63">
        <f>N120-E120</f>
        <v>-6</v>
      </c>
      <c r="Q120" s="66">
        <f>(N120-E120)/E120</f>
        <v>-1</v>
      </c>
    </row>
    <row r="121" spans="1:17" ht="16" x14ac:dyDescent="0.2">
      <c r="A121" s="64">
        <v>298</v>
      </c>
      <c r="B121" s="64" t="s">
        <v>311</v>
      </c>
      <c r="C121" s="64" t="s">
        <v>304</v>
      </c>
      <c r="D121" s="65" t="s">
        <v>208</v>
      </c>
      <c r="E121" s="64">
        <v>4.5999999999999996</v>
      </c>
      <c r="F121" s="64">
        <v>5.4</v>
      </c>
      <c r="G121" s="64">
        <v>5.7</v>
      </c>
      <c r="H121" s="63">
        <v>6.9</v>
      </c>
      <c r="I121" s="63">
        <v>8.1999999999999993</v>
      </c>
      <c r="J121" s="63">
        <v>11.5</v>
      </c>
      <c r="K121" s="63">
        <v>16.899999999999999</v>
      </c>
      <c r="L121" s="63">
        <v>4.7</v>
      </c>
      <c r="M121" s="63">
        <v>5.8</v>
      </c>
      <c r="N121" s="63">
        <v>5</v>
      </c>
      <c r="O121" s="63" t="s">
        <v>316</v>
      </c>
      <c r="P121" s="63">
        <f>N121-E121</f>
        <v>0.40000000000000036</v>
      </c>
      <c r="Q121" s="66">
        <f>(N121-E121)/E121</f>
        <v>8.6956521739130516E-2</v>
      </c>
    </row>
    <row r="122" spans="1:17" ht="16" x14ac:dyDescent="0.2">
      <c r="A122" s="64">
        <v>299</v>
      </c>
      <c r="B122" s="64" t="s">
        <v>311</v>
      </c>
      <c r="C122" s="64" t="s">
        <v>304</v>
      </c>
      <c r="D122" s="65" t="s">
        <v>207</v>
      </c>
      <c r="E122" s="64">
        <v>4.5999999999999996</v>
      </c>
      <c r="F122" s="64">
        <v>6.1</v>
      </c>
      <c r="G122" s="64">
        <v>6.3</v>
      </c>
      <c r="H122" s="63">
        <v>4.9000000000000004</v>
      </c>
      <c r="I122" s="63">
        <v>5</v>
      </c>
      <c r="J122" s="63">
        <v>0</v>
      </c>
      <c r="K122" s="63">
        <v>0</v>
      </c>
      <c r="L122" s="63">
        <v>0</v>
      </c>
      <c r="M122" s="63">
        <v>0</v>
      </c>
      <c r="N122" s="63">
        <v>0</v>
      </c>
      <c r="O122" s="63" t="s">
        <v>306</v>
      </c>
      <c r="P122" s="63">
        <f>N122-E122</f>
        <v>-4.5999999999999996</v>
      </c>
      <c r="Q122" s="66">
        <f>(N122-E122)/E122</f>
        <v>-1</v>
      </c>
    </row>
    <row r="123" spans="1:17" ht="16" x14ac:dyDescent="0.2">
      <c r="A123" s="64">
        <v>300</v>
      </c>
      <c r="B123" s="64" t="s">
        <v>311</v>
      </c>
      <c r="C123" s="64" t="s">
        <v>304</v>
      </c>
      <c r="D123" s="65" t="s">
        <v>208</v>
      </c>
      <c r="E123" s="64">
        <v>4.5</v>
      </c>
      <c r="F123" s="64">
        <v>4.5</v>
      </c>
      <c r="G123" s="64">
        <v>5.5</v>
      </c>
      <c r="H123" s="63">
        <v>5.7</v>
      </c>
      <c r="I123" s="63">
        <v>0</v>
      </c>
      <c r="J123" s="63">
        <v>0</v>
      </c>
      <c r="K123" s="63">
        <v>0</v>
      </c>
      <c r="L123" s="63">
        <v>0</v>
      </c>
      <c r="M123" s="63">
        <v>0</v>
      </c>
      <c r="N123" s="63">
        <v>0</v>
      </c>
      <c r="O123" s="63" t="s">
        <v>305</v>
      </c>
      <c r="P123" s="63">
        <f>N123-E123</f>
        <v>-4.5</v>
      </c>
      <c r="Q123" s="66">
        <f>(N123-E123)/E123</f>
        <v>-1</v>
      </c>
    </row>
    <row r="124" spans="1:17" ht="16" x14ac:dyDescent="0.2">
      <c r="A124" s="64">
        <v>301</v>
      </c>
      <c r="B124" s="64" t="s">
        <v>311</v>
      </c>
      <c r="C124" s="64" t="s">
        <v>304</v>
      </c>
      <c r="D124" s="65" t="s">
        <v>207</v>
      </c>
      <c r="E124" s="64">
        <v>2.1</v>
      </c>
      <c r="F124" s="64">
        <v>3.6</v>
      </c>
      <c r="G124" s="64">
        <v>4</v>
      </c>
      <c r="H124" s="63">
        <v>5.5</v>
      </c>
      <c r="I124" s="63">
        <v>6.2</v>
      </c>
      <c r="J124" s="63">
        <v>5.3</v>
      </c>
      <c r="K124" s="63">
        <v>7.2</v>
      </c>
      <c r="L124" s="63">
        <v>7.8</v>
      </c>
      <c r="M124" s="63">
        <v>9.6999999999999993</v>
      </c>
      <c r="N124" s="63">
        <v>9.5</v>
      </c>
      <c r="O124" s="63" t="s">
        <v>316</v>
      </c>
      <c r="P124" s="63">
        <f>N124-E124</f>
        <v>7.4</v>
      </c>
      <c r="Q124" s="66">
        <f>(N124-E124)/E124</f>
        <v>3.5238095238095237</v>
      </c>
    </row>
    <row r="125" spans="1:17" ht="16" x14ac:dyDescent="0.2">
      <c r="A125" s="64">
        <v>302</v>
      </c>
      <c r="B125" s="64" t="s">
        <v>311</v>
      </c>
      <c r="C125" s="64" t="s">
        <v>304</v>
      </c>
      <c r="D125" s="65" t="s">
        <v>208</v>
      </c>
      <c r="E125" s="64">
        <v>6.7</v>
      </c>
      <c r="F125" s="64">
        <v>9.1999999999999993</v>
      </c>
      <c r="G125" s="64">
        <v>9.6</v>
      </c>
      <c r="H125" s="63">
        <v>10.9</v>
      </c>
      <c r="I125" s="63">
        <v>13.6</v>
      </c>
      <c r="J125" s="63">
        <v>16.2</v>
      </c>
      <c r="K125" s="63">
        <v>15.6</v>
      </c>
      <c r="L125" s="63">
        <v>12.8</v>
      </c>
      <c r="M125" s="63">
        <v>17.100000000000001</v>
      </c>
      <c r="N125" s="63">
        <v>19.5</v>
      </c>
      <c r="O125" s="63" t="s">
        <v>316</v>
      </c>
      <c r="P125" s="63">
        <f>N125-E125</f>
        <v>12.8</v>
      </c>
      <c r="Q125" s="66">
        <f>(N125-E125)/E125</f>
        <v>1.9104477611940298</v>
      </c>
    </row>
    <row r="126" spans="1:17" ht="16" x14ac:dyDescent="0.2">
      <c r="A126" s="64">
        <v>303</v>
      </c>
      <c r="B126" s="64" t="s">
        <v>311</v>
      </c>
      <c r="C126" s="64" t="s">
        <v>304</v>
      </c>
      <c r="D126" s="65" t="s">
        <v>207</v>
      </c>
      <c r="E126" s="64">
        <v>5.2</v>
      </c>
      <c r="F126" s="64">
        <v>6.4</v>
      </c>
      <c r="G126" s="64">
        <v>5.7</v>
      </c>
      <c r="H126" s="63">
        <v>6.6</v>
      </c>
      <c r="I126" s="63">
        <v>6.3</v>
      </c>
      <c r="J126" s="63">
        <v>5.4</v>
      </c>
      <c r="K126" s="63">
        <v>5.5</v>
      </c>
      <c r="L126" s="63">
        <v>5.6</v>
      </c>
      <c r="M126" s="63">
        <v>0</v>
      </c>
      <c r="N126" s="63">
        <v>0</v>
      </c>
      <c r="O126" s="63" t="s">
        <v>305</v>
      </c>
      <c r="P126" s="63">
        <f>N126-E126</f>
        <v>-5.2</v>
      </c>
      <c r="Q126" s="66">
        <f>(N126-E126)/E126</f>
        <v>-1</v>
      </c>
    </row>
    <row r="127" spans="1:17" ht="16" x14ac:dyDescent="0.2">
      <c r="A127" s="64">
        <v>304</v>
      </c>
      <c r="B127" s="64" t="s">
        <v>311</v>
      </c>
      <c r="C127" s="64" t="s">
        <v>304</v>
      </c>
      <c r="D127" s="65" t="s">
        <v>208</v>
      </c>
      <c r="E127" s="64">
        <v>5.3</v>
      </c>
      <c r="F127" s="64">
        <v>6</v>
      </c>
      <c r="G127" s="64">
        <v>6.7</v>
      </c>
      <c r="H127" s="63">
        <v>8.1999999999999993</v>
      </c>
      <c r="I127" s="63">
        <v>9.3000000000000007</v>
      </c>
      <c r="J127" s="63">
        <v>9.1999999999999993</v>
      </c>
      <c r="K127" s="63">
        <v>11.2</v>
      </c>
      <c r="L127" s="63">
        <v>14.8</v>
      </c>
      <c r="M127" s="63">
        <v>13.9</v>
      </c>
      <c r="N127" s="63">
        <v>15</v>
      </c>
      <c r="O127" s="63" t="s">
        <v>316</v>
      </c>
      <c r="P127" s="63">
        <f>N127-E127</f>
        <v>9.6999999999999993</v>
      </c>
      <c r="Q127" s="66">
        <f>(N127-E127)/E127</f>
        <v>1.8301886792452831</v>
      </c>
    </row>
    <row r="128" spans="1:17" ht="16" x14ac:dyDescent="0.2">
      <c r="A128" s="64">
        <v>305</v>
      </c>
      <c r="B128" s="64" t="s">
        <v>311</v>
      </c>
      <c r="C128" s="64" t="s">
        <v>304</v>
      </c>
      <c r="D128" s="65" t="s">
        <v>207</v>
      </c>
      <c r="E128" s="64">
        <v>5.7</v>
      </c>
      <c r="F128" s="64">
        <v>6.4</v>
      </c>
      <c r="G128" s="64">
        <v>6.6</v>
      </c>
      <c r="H128" s="63">
        <v>5.9</v>
      </c>
      <c r="I128" s="63">
        <v>7.4</v>
      </c>
      <c r="J128" s="63">
        <v>7.7</v>
      </c>
      <c r="K128" s="63">
        <v>7.8</v>
      </c>
      <c r="L128" s="63">
        <v>8.4</v>
      </c>
      <c r="M128" s="63">
        <v>8.1999999999999993</v>
      </c>
      <c r="N128" s="63">
        <v>9.1999999999999993</v>
      </c>
      <c r="O128" s="63" t="s">
        <v>316</v>
      </c>
      <c r="P128" s="63">
        <f>N128-E128</f>
        <v>3.4999999999999991</v>
      </c>
      <c r="Q128" s="66">
        <f>(N128-E128)/E128</f>
        <v>0.61403508771929804</v>
      </c>
    </row>
    <row r="129" spans="1:17" ht="16" x14ac:dyDescent="0.2">
      <c r="A129" s="64">
        <v>306</v>
      </c>
      <c r="B129" s="64" t="s">
        <v>311</v>
      </c>
      <c r="C129" s="64" t="s">
        <v>304</v>
      </c>
      <c r="D129" s="65" t="s">
        <v>208</v>
      </c>
      <c r="E129" s="64">
        <v>5.0999999999999996</v>
      </c>
      <c r="F129" s="64">
        <v>6.4</v>
      </c>
      <c r="G129" s="64">
        <v>7.2</v>
      </c>
      <c r="H129" s="63">
        <v>8.9</v>
      </c>
      <c r="I129" s="63">
        <v>9</v>
      </c>
      <c r="J129" s="63">
        <v>10.6</v>
      </c>
      <c r="K129" s="63">
        <v>8</v>
      </c>
      <c r="L129" s="63">
        <v>10.4</v>
      </c>
      <c r="M129" s="63">
        <v>11.6</v>
      </c>
      <c r="N129" s="63">
        <v>14.9</v>
      </c>
      <c r="O129" s="63" t="s">
        <v>316</v>
      </c>
      <c r="P129" s="63">
        <f>N129-E129</f>
        <v>9.8000000000000007</v>
      </c>
      <c r="Q129" s="66">
        <f>(N129-E129)/E129</f>
        <v>1.9215686274509807</v>
      </c>
    </row>
    <row r="130" spans="1:17" ht="16" x14ac:dyDescent="0.2">
      <c r="A130" s="64">
        <v>325</v>
      </c>
      <c r="B130" s="64" t="s">
        <v>312</v>
      </c>
      <c r="C130" s="64" t="s">
        <v>304</v>
      </c>
      <c r="D130" s="65" t="s">
        <v>208</v>
      </c>
      <c r="E130" s="64">
        <v>7</v>
      </c>
      <c r="F130" s="64">
        <v>9.1999999999999993</v>
      </c>
      <c r="G130" s="64">
        <v>7.3</v>
      </c>
      <c r="H130" s="63">
        <v>9.1999999999999993</v>
      </c>
      <c r="I130" s="63">
        <v>10.4</v>
      </c>
      <c r="J130" s="63">
        <v>10.3</v>
      </c>
      <c r="K130" s="63">
        <v>11.5</v>
      </c>
      <c r="L130" s="63">
        <v>13.5</v>
      </c>
      <c r="M130" s="63">
        <v>18.7</v>
      </c>
      <c r="N130" s="63">
        <v>8.6</v>
      </c>
      <c r="O130" s="63" t="s">
        <v>316</v>
      </c>
      <c r="P130" s="63">
        <f>N130-E130</f>
        <v>1.5999999999999996</v>
      </c>
      <c r="Q130" s="66">
        <f>(N130-E130)/E130</f>
        <v>0.22857142857142851</v>
      </c>
    </row>
    <row r="131" spans="1:17" ht="16" x14ac:dyDescent="0.2">
      <c r="A131" s="64">
        <v>326</v>
      </c>
      <c r="B131" s="64" t="s">
        <v>312</v>
      </c>
      <c r="C131" s="64" t="s">
        <v>304</v>
      </c>
      <c r="D131" s="65" t="s">
        <v>207</v>
      </c>
      <c r="E131" s="64">
        <v>5</v>
      </c>
      <c r="F131" s="64">
        <v>5.4</v>
      </c>
      <c r="G131" s="64">
        <v>5.2</v>
      </c>
      <c r="H131" s="63">
        <v>6.2</v>
      </c>
      <c r="I131" s="63">
        <v>8.4</v>
      </c>
      <c r="J131" s="63">
        <v>8.4</v>
      </c>
      <c r="K131" s="63">
        <v>9.9</v>
      </c>
      <c r="L131" s="63">
        <v>11.9</v>
      </c>
      <c r="M131" s="63">
        <v>13.7</v>
      </c>
      <c r="N131" s="63">
        <v>12.8</v>
      </c>
      <c r="O131" s="63" t="s">
        <v>316</v>
      </c>
      <c r="P131" s="63">
        <f>N131-E131</f>
        <v>7.8000000000000007</v>
      </c>
      <c r="Q131" s="66">
        <f>(N131-E131)/E131</f>
        <v>1.56</v>
      </c>
    </row>
    <row r="132" spans="1:17" ht="16" x14ac:dyDescent="0.2">
      <c r="A132" s="64">
        <v>327</v>
      </c>
      <c r="B132" s="64" t="s">
        <v>312</v>
      </c>
      <c r="C132" s="64" t="s">
        <v>304</v>
      </c>
      <c r="D132" s="65" t="s">
        <v>208</v>
      </c>
      <c r="E132" s="64">
        <v>11.8</v>
      </c>
      <c r="F132" s="64">
        <v>12</v>
      </c>
      <c r="G132" s="64">
        <v>11.8</v>
      </c>
      <c r="H132" s="63">
        <v>14.1</v>
      </c>
      <c r="I132" s="63">
        <v>7.9</v>
      </c>
      <c r="J132" s="63">
        <v>5.9</v>
      </c>
      <c r="K132" s="63">
        <v>11.9</v>
      </c>
      <c r="L132" s="63">
        <v>12.9</v>
      </c>
      <c r="M132" s="63">
        <v>14.7</v>
      </c>
      <c r="N132" s="63">
        <v>10.7</v>
      </c>
      <c r="O132" s="63" t="s">
        <v>316</v>
      </c>
      <c r="P132" s="63">
        <f>N132-E132</f>
        <v>-1.1000000000000014</v>
      </c>
      <c r="Q132" s="66">
        <f>(N132-E132)/E132</f>
        <v>-9.322033898305096E-2</v>
      </c>
    </row>
    <row r="133" spans="1:17" ht="16" x14ac:dyDescent="0.2">
      <c r="A133" s="64">
        <v>328</v>
      </c>
      <c r="B133" s="64" t="s">
        <v>312</v>
      </c>
      <c r="C133" s="64" t="s">
        <v>304</v>
      </c>
      <c r="D133" s="65" t="s">
        <v>207</v>
      </c>
      <c r="E133" s="64">
        <v>4.2</v>
      </c>
      <c r="F133" s="64">
        <v>4.5</v>
      </c>
      <c r="G133" s="64">
        <v>4.5</v>
      </c>
      <c r="H133" s="63">
        <v>5.7</v>
      </c>
      <c r="I133" s="63">
        <v>5.5</v>
      </c>
      <c r="J133" s="63">
        <v>6</v>
      </c>
      <c r="K133" s="63">
        <v>6.2</v>
      </c>
      <c r="L133" s="63">
        <v>6.9</v>
      </c>
      <c r="M133" s="63">
        <v>6.9</v>
      </c>
      <c r="N133" s="63">
        <v>11.5</v>
      </c>
      <c r="O133" s="63" t="s">
        <v>316</v>
      </c>
      <c r="P133" s="63">
        <f>N133-E133</f>
        <v>7.3</v>
      </c>
      <c r="Q133" s="66">
        <f>(N133-E133)/E133</f>
        <v>1.7380952380952379</v>
      </c>
    </row>
    <row r="134" spans="1:17" ht="16" x14ac:dyDescent="0.2">
      <c r="A134" s="64">
        <v>329</v>
      </c>
      <c r="B134" s="64" t="s">
        <v>312</v>
      </c>
      <c r="C134" s="64" t="s">
        <v>304</v>
      </c>
      <c r="D134" s="65" t="s">
        <v>208</v>
      </c>
      <c r="E134" s="64">
        <v>7.3</v>
      </c>
      <c r="F134" s="64">
        <v>8</v>
      </c>
      <c r="G134" s="64">
        <v>8.6999999999999993</v>
      </c>
      <c r="H134" s="63">
        <v>10.1</v>
      </c>
      <c r="I134" s="63">
        <v>10.4</v>
      </c>
      <c r="J134" s="63">
        <v>11.4</v>
      </c>
      <c r="K134" s="63">
        <v>16</v>
      </c>
      <c r="L134" s="63">
        <v>16.7</v>
      </c>
      <c r="M134" s="63">
        <v>12.9</v>
      </c>
      <c r="N134" s="63">
        <v>16.100000000000001</v>
      </c>
      <c r="O134" s="63" t="s">
        <v>316</v>
      </c>
      <c r="P134" s="63">
        <f>N134-E134</f>
        <v>8.8000000000000007</v>
      </c>
      <c r="Q134" s="66">
        <f>(N134-E134)/E134</f>
        <v>1.2054794520547947</v>
      </c>
    </row>
    <row r="135" spans="1:17" ht="16" x14ac:dyDescent="0.2">
      <c r="A135" s="64">
        <v>330</v>
      </c>
      <c r="B135" s="64" t="s">
        <v>312</v>
      </c>
      <c r="C135" s="64" t="s">
        <v>304</v>
      </c>
      <c r="D135" s="65" t="s">
        <v>207</v>
      </c>
      <c r="E135" s="64">
        <v>3.6</v>
      </c>
      <c r="F135" s="64">
        <v>4.3</v>
      </c>
      <c r="G135" s="64">
        <v>3.5</v>
      </c>
      <c r="H135" s="63">
        <v>4.8</v>
      </c>
      <c r="I135" s="63">
        <v>4.9000000000000004</v>
      </c>
      <c r="J135" s="63">
        <v>5.7</v>
      </c>
      <c r="K135" s="63">
        <v>0</v>
      </c>
      <c r="L135" s="63">
        <v>0</v>
      </c>
      <c r="M135" s="63">
        <v>0</v>
      </c>
      <c r="N135" s="63">
        <v>0</v>
      </c>
      <c r="O135" s="63" t="s">
        <v>305</v>
      </c>
      <c r="P135" s="63">
        <f>N135-E135</f>
        <v>-3.6</v>
      </c>
      <c r="Q135" s="66">
        <f>(N135-E135)/E135</f>
        <v>-1</v>
      </c>
    </row>
    <row r="136" spans="1:17" ht="16" x14ac:dyDescent="0.2">
      <c r="A136" s="64">
        <v>331</v>
      </c>
      <c r="B136" s="64" t="s">
        <v>312</v>
      </c>
      <c r="C136" s="64" t="s">
        <v>304</v>
      </c>
      <c r="D136" s="65" t="s">
        <v>207</v>
      </c>
      <c r="E136" s="64">
        <v>5.5</v>
      </c>
      <c r="F136" s="64">
        <v>5.6</v>
      </c>
      <c r="G136" s="64">
        <v>5</v>
      </c>
      <c r="H136" s="63">
        <v>6.4</v>
      </c>
      <c r="I136" s="63">
        <v>7.3</v>
      </c>
      <c r="J136" s="63">
        <v>7.6</v>
      </c>
      <c r="K136" s="63">
        <v>10.1</v>
      </c>
      <c r="L136" s="63">
        <v>9.8000000000000007</v>
      </c>
      <c r="M136" s="63">
        <v>12.5</v>
      </c>
      <c r="N136" s="63">
        <v>12.5</v>
      </c>
      <c r="O136" s="63" t="s">
        <v>316</v>
      </c>
      <c r="P136" s="63">
        <f>N136-E136</f>
        <v>7</v>
      </c>
      <c r="Q136" s="66">
        <f>(N136-E136)/E136</f>
        <v>1.2727272727272727</v>
      </c>
    </row>
    <row r="137" spans="1:17" ht="16" x14ac:dyDescent="0.2">
      <c r="A137" s="64">
        <v>332</v>
      </c>
      <c r="B137" s="64" t="s">
        <v>312</v>
      </c>
      <c r="C137" s="64" t="s">
        <v>304</v>
      </c>
      <c r="D137" s="65" t="s">
        <v>208</v>
      </c>
      <c r="E137" s="64">
        <v>6.4</v>
      </c>
      <c r="F137" s="64">
        <v>7.4</v>
      </c>
      <c r="G137" s="64">
        <v>6.4</v>
      </c>
      <c r="H137" s="63">
        <v>7.3</v>
      </c>
      <c r="I137" s="63">
        <v>8.3000000000000007</v>
      </c>
      <c r="J137" s="63">
        <v>8.3000000000000007</v>
      </c>
      <c r="K137" s="63">
        <v>11.8</v>
      </c>
      <c r="L137" s="63">
        <v>13.4</v>
      </c>
      <c r="M137" s="63">
        <v>16.899999999999999</v>
      </c>
      <c r="N137" s="63">
        <v>16.100000000000001</v>
      </c>
      <c r="O137" s="63" t="s">
        <v>316</v>
      </c>
      <c r="P137" s="63">
        <f>N137-E137</f>
        <v>9.7000000000000011</v>
      </c>
      <c r="Q137" s="66">
        <f>(N137-E137)/E137</f>
        <v>1.515625</v>
      </c>
    </row>
    <row r="138" spans="1:17" ht="16" x14ac:dyDescent="0.2">
      <c r="A138" s="64">
        <v>333</v>
      </c>
      <c r="B138" s="64" t="s">
        <v>312</v>
      </c>
      <c r="C138" s="64" t="s">
        <v>304</v>
      </c>
      <c r="D138" s="65" t="s">
        <v>207</v>
      </c>
      <c r="E138" s="64">
        <v>4.5999999999999996</v>
      </c>
      <c r="F138" s="64">
        <v>3.8</v>
      </c>
      <c r="G138" s="64">
        <v>5</v>
      </c>
      <c r="H138" s="63">
        <v>6</v>
      </c>
      <c r="I138" s="63">
        <v>7.4</v>
      </c>
      <c r="J138" s="63">
        <v>7.4</v>
      </c>
      <c r="K138" s="63">
        <v>9.1</v>
      </c>
      <c r="L138" s="63">
        <v>9.1</v>
      </c>
      <c r="M138" s="63">
        <v>11</v>
      </c>
      <c r="N138" s="63">
        <v>10</v>
      </c>
      <c r="O138" s="63" t="s">
        <v>316</v>
      </c>
      <c r="P138" s="63">
        <f>N138-E138</f>
        <v>5.4</v>
      </c>
      <c r="Q138" s="66">
        <f>(N138-E138)/E138</f>
        <v>1.173913043478261</v>
      </c>
    </row>
    <row r="139" spans="1:17" ht="16" x14ac:dyDescent="0.2">
      <c r="A139" s="64">
        <v>334</v>
      </c>
      <c r="B139" s="64" t="s">
        <v>312</v>
      </c>
      <c r="C139" s="64" t="s">
        <v>304</v>
      </c>
      <c r="D139" s="65" t="s">
        <v>208</v>
      </c>
      <c r="E139" s="64">
        <v>6.4</v>
      </c>
      <c r="F139" s="64">
        <v>8</v>
      </c>
      <c r="G139" s="64">
        <v>8.1999999999999993</v>
      </c>
      <c r="H139" s="63">
        <v>9.1</v>
      </c>
      <c r="I139" s="63">
        <v>9.9</v>
      </c>
      <c r="J139" s="63">
        <v>10.4</v>
      </c>
      <c r="K139" s="63">
        <v>12.6</v>
      </c>
      <c r="L139" s="63">
        <v>13.9</v>
      </c>
      <c r="M139" s="63">
        <v>16</v>
      </c>
      <c r="N139" s="63">
        <v>16.600000000000001</v>
      </c>
      <c r="O139" s="63" t="s">
        <v>316</v>
      </c>
      <c r="P139" s="63">
        <f>N139-E139</f>
        <v>10.200000000000001</v>
      </c>
      <c r="Q139" s="66">
        <f>(N139-E139)/E139</f>
        <v>1.59375</v>
      </c>
    </row>
    <row r="140" spans="1:17" ht="16" x14ac:dyDescent="0.2">
      <c r="A140" s="64">
        <v>335</v>
      </c>
      <c r="B140" s="64" t="s">
        <v>312</v>
      </c>
      <c r="C140" s="64" t="s">
        <v>304</v>
      </c>
      <c r="D140" s="65" t="s">
        <v>207</v>
      </c>
      <c r="E140" s="64">
        <v>4.9000000000000004</v>
      </c>
      <c r="F140" s="64">
        <v>5.6</v>
      </c>
      <c r="G140" s="64">
        <v>4.5999999999999996</v>
      </c>
      <c r="H140" s="63">
        <v>5.4</v>
      </c>
      <c r="I140" s="63">
        <v>6.4</v>
      </c>
      <c r="J140" s="63">
        <v>5.5</v>
      </c>
      <c r="K140" s="63">
        <v>7.5</v>
      </c>
      <c r="L140" s="63">
        <v>5.8</v>
      </c>
      <c r="M140" s="63">
        <v>9.6999999999999993</v>
      </c>
      <c r="N140" s="63">
        <v>10</v>
      </c>
      <c r="O140" s="63" t="s">
        <v>316</v>
      </c>
      <c r="P140" s="63">
        <f>N140-E140</f>
        <v>5.0999999999999996</v>
      </c>
      <c r="Q140" s="66">
        <f>(N140-E140)/E140</f>
        <v>1.0408163265306121</v>
      </c>
    </row>
    <row r="141" spans="1:17" ht="16" x14ac:dyDescent="0.2">
      <c r="A141" s="64">
        <v>336</v>
      </c>
      <c r="B141" s="64" t="s">
        <v>312</v>
      </c>
      <c r="C141" s="64" t="s">
        <v>304</v>
      </c>
      <c r="D141" s="65" t="s">
        <v>208</v>
      </c>
      <c r="E141" s="64">
        <v>5.4</v>
      </c>
      <c r="F141" s="64">
        <v>6.5</v>
      </c>
      <c r="G141" s="64">
        <v>6.4</v>
      </c>
      <c r="H141" s="63">
        <v>6.3</v>
      </c>
      <c r="I141" s="63">
        <v>7.1</v>
      </c>
      <c r="J141" s="63">
        <v>7.6</v>
      </c>
      <c r="K141" s="63">
        <v>11.2</v>
      </c>
      <c r="L141" s="63">
        <v>12.1</v>
      </c>
      <c r="M141" s="63">
        <v>13.9</v>
      </c>
      <c r="N141" s="63">
        <v>14.2</v>
      </c>
      <c r="O141" s="63" t="s">
        <v>316</v>
      </c>
      <c r="P141" s="63">
        <f>N141-E141</f>
        <v>8.7999999999999989</v>
      </c>
      <c r="Q141" s="66">
        <f>(N141-E141)/E141</f>
        <v>1.6296296296296293</v>
      </c>
    </row>
    <row r="142" spans="1:17" ht="16" x14ac:dyDescent="0.2">
      <c r="A142" s="64">
        <v>337</v>
      </c>
      <c r="B142" s="64" t="s">
        <v>312</v>
      </c>
      <c r="C142" s="64" t="s">
        <v>304</v>
      </c>
      <c r="D142" s="65" t="s">
        <v>207</v>
      </c>
      <c r="E142" s="64">
        <v>4</v>
      </c>
      <c r="F142" s="64">
        <v>3.7</v>
      </c>
      <c r="G142" s="64">
        <v>4.9000000000000004</v>
      </c>
      <c r="H142" s="63">
        <v>5.8</v>
      </c>
      <c r="I142" s="63">
        <v>6.2</v>
      </c>
      <c r="J142" s="63">
        <v>6.5</v>
      </c>
      <c r="K142" s="63">
        <v>7.2</v>
      </c>
      <c r="L142" s="63">
        <v>7.7</v>
      </c>
      <c r="M142" s="63">
        <v>11.2</v>
      </c>
      <c r="N142" s="63">
        <v>8.1</v>
      </c>
      <c r="O142" s="63" t="s">
        <v>316</v>
      </c>
      <c r="P142" s="63">
        <f>N142-E142</f>
        <v>4.0999999999999996</v>
      </c>
      <c r="Q142" s="66">
        <f>(N142-E142)/E142</f>
        <v>1.0249999999999999</v>
      </c>
    </row>
    <row r="143" spans="1:17" ht="16" x14ac:dyDescent="0.2">
      <c r="A143" s="64">
        <v>338</v>
      </c>
      <c r="B143" s="64" t="s">
        <v>312</v>
      </c>
      <c r="C143" s="64" t="s">
        <v>304</v>
      </c>
      <c r="D143" s="65" t="s">
        <v>208</v>
      </c>
      <c r="E143" s="64">
        <v>7.7</v>
      </c>
      <c r="F143" s="64">
        <v>9.6</v>
      </c>
      <c r="G143" s="64">
        <v>9.6</v>
      </c>
      <c r="H143" s="63">
        <v>11.3</v>
      </c>
      <c r="I143" s="63">
        <v>11.5</v>
      </c>
      <c r="J143" s="63">
        <v>12.8</v>
      </c>
      <c r="K143" s="63">
        <v>16.8</v>
      </c>
      <c r="L143" s="63">
        <v>19.8</v>
      </c>
      <c r="M143" s="63">
        <v>12.3</v>
      </c>
      <c r="N143" s="63">
        <v>13.5</v>
      </c>
      <c r="O143" s="63" t="s">
        <v>316</v>
      </c>
      <c r="P143" s="63">
        <f>N143-E143</f>
        <v>5.8</v>
      </c>
      <c r="Q143" s="66">
        <f>(N143-E143)/E143</f>
        <v>0.75324675324675316</v>
      </c>
    </row>
    <row r="144" spans="1:17" ht="16" x14ac:dyDescent="0.2">
      <c r="A144" s="64">
        <v>339</v>
      </c>
      <c r="B144" s="64" t="s">
        <v>312</v>
      </c>
      <c r="C144" s="64" t="s">
        <v>304</v>
      </c>
      <c r="D144" s="65" t="s">
        <v>207</v>
      </c>
      <c r="E144" s="64">
        <v>4.8</v>
      </c>
      <c r="F144" s="64">
        <v>5.2</v>
      </c>
      <c r="G144" s="64">
        <v>5.5</v>
      </c>
      <c r="H144" s="63">
        <v>6.6</v>
      </c>
      <c r="I144" s="63">
        <v>6.9</v>
      </c>
      <c r="J144" s="63">
        <v>8.4</v>
      </c>
      <c r="K144" s="63">
        <v>11.2</v>
      </c>
      <c r="L144" s="63">
        <v>13.2</v>
      </c>
      <c r="M144" s="63">
        <v>14.7</v>
      </c>
      <c r="N144" s="63">
        <v>14.8</v>
      </c>
      <c r="O144" s="63" t="s">
        <v>316</v>
      </c>
      <c r="P144" s="63">
        <f>N144-E144</f>
        <v>10</v>
      </c>
      <c r="Q144" s="66">
        <f>(N144-E144)/E144</f>
        <v>2.0833333333333335</v>
      </c>
    </row>
    <row r="145" spans="1:17" ht="16" x14ac:dyDescent="0.2">
      <c r="A145" s="64">
        <v>340</v>
      </c>
      <c r="B145" s="64" t="s">
        <v>312</v>
      </c>
      <c r="C145" s="64" t="s">
        <v>304</v>
      </c>
      <c r="D145" s="65" t="s">
        <v>208</v>
      </c>
      <c r="E145" s="64">
        <v>6.6</v>
      </c>
      <c r="F145" s="64">
        <v>8</v>
      </c>
      <c r="G145" s="64">
        <v>8.1</v>
      </c>
      <c r="H145" s="63">
        <v>9.6</v>
      </c>
      <c r="I145" s="63">
        <v>9.9</v>
      </c>
      <c r="J145" s="63">
        <v>10.8</v>
      </c>
      <c r="K145" s="63">
        <v>14.4</v>
      </c>
      <c r="L145" s="63">
        <v>16.8</v>
      </c>
      <c r="M145" s="63">
        <v>17.899999999999999</v>
      </c>
      <c r="N145" s="63">
        <v>18.100000000000001</v>
      </c>
      <c r="O145" s="63" t="s">
        <v>316</v>
      </c>
      <c r="P145" s="63">
        <f>N145-E145</f>
        <v>11.500000000000002</v>
      </c>
      <c r="Q145" s="66">
        <f>(N145-E145)/E145</f>
        <v>1.7424242424242429</v>
      </c>
    </row>
    <row r="146" spans="1:17" ht="16" x14ac:dyDescent="0.2">
      <c r="A146" s="64">
        <v>341</v>
      </c>
      <c r="B146" s="64" t="s">
        <v>312</v>
      </c>
      <c r="C146" s="64" t="s">
        <v>304</v>
      </c>
      <c r="D146" s="65" t="s">
        <v>207</v>
      </c>
      <c r="E146" s="64">
        <v>4.7</v>
      </c>
      <c r="F146" s="64">
        <v>4.9000000000000004</v>
      </c>
      <c r="G146" s="64">
        <v>5.7</v>
      </c>
      <c r="H146" s="63">
        <v>6.2</v>
      </c>
      <c r="I146" s="63">
        <v>7.3</v>
      </c>
      <c r="J146" s="63">
        <v>7.5</v>
      </c>
      <c r="K146" s="63">
        <v>10.1</v>
      </c>
      <c r="L146" s="63">
        <v>9.1</v>
      </c>
      <c r="M146" s="63">
        <v>10.6</v>
      </c>
      <c r="N146" s="63">
        <v>11.1</v>
      </c>
      <c r="O146" s="63" t="s">
        <v>316</v>
      </c>
      <c r="P146" s="63">
        <f>N146-E146</f>
        <v>6.3999999999999995</v>
      </c>
      <c r="Q146" s="66">
        <f>(N146-E146)/E146</f>
        <v>1.3617021276595742</v>
      </c>
    </row>
    <row r="147" spans="1:17" ht="16" x14ac:dyDescent="0.2">
      <c r="A147" s="64">
        <v>342</v>
      </c>
      <c r="B147" s="64" t="s">
        <v>312</v>
      </c>
      <c r="C147" s="64" t="s">
        <v>304</v>
      </c>
      <c r="D147" s="65" t="s">
        <v>208</v>
      </c>
      <c r="E147" s="64">
        <v>6.8</v>
      </c>
      <c r="F147" s="64">
        <v>5.5</v>
      </c>
      <c r="G147" s="64">
        <v>7.8</v>
      </c>
      <c r="H147" s="63">
        <v>8.8000000000000007</v>
      </c>
      <c r="I147" s="63">
        <v>9.8000000000000007</v>
      </c>
      <c r="J147" s="63">
        <v>11.1</v>
      </c>
      <c r="K147" s="63">
        <v>15.4</v>
      </c>
      <c r="L147" s="63">
        <v>18.2</v>
      </c>
      <c r="M147" s="63">
        <v>20.3</v>
      </c>
      <c r="N147" s="63">
        <v>16.8</v>
      </c>
      <c r="O147" s="63" t="s">
        <v>316</v>
      </c>
      <c r="P147" s="63">
        <f>N147-E147</f>
        <v>10</v>
      </c>
      <c r="Q147" s="66">
        <f>(N147-E147)/E147</f>
        <v>1.4705882352941178</v>
      </c>
    </row>
    <row r="148" spans="1:17" ht="16" x14ac:dyDescent="0.2">
      <c r="A148" s="64">
        <v>343</v>
      </c>
      <c r="B148" s="64" t="s">
        <v>49</v>
      </c>
      <c r="C148" s="64" t="s">
        <v>304</v>
      </c>
      <c r="D148" s="65" t="s">
        <v>208</v>
      </c>
      <c r="E148" s="64">
        <v>7.7</v>
      </c>
      <c r="F148" s="64">
        <v>8.6999999999999993</v>
      </c>
      <c r="G148" s="64">
        <v>9.5</v>
      </c>
      <c r="H148" s="63">
        <v>9.9</v>
      </c>
      <c r="I148" s="63">
        <v>12.1</v>
      </c>
      <c r="J148" s="63">
        <v>13.3</v>
      </c>
      <c r="K148" s="63">
        <v>11.1</v>
      </c>
      <c r="L148" s="63">
        <v>13.9</v>
      </c>
      <c r="M148" s="63">
        <v>15.3</v>
      </c>
      <c r="N148" s="63">
        <v>0</v>
      </c>
      <c r="O148" s="63" t="s">
        <v>305</v>
      </c>
      <c r="P148" s="63">
        <f>N148-E148</f>
        <v>-7.7</v>
      </c>
      <c r="Q148" s="66">
        <f>(N148-E148)/E148</f>
        <v>-1</v>
      </c>
    </row>
    <row r="149" spans="1:17" ht="16" x14ac:dyDescent="0.2">
      <c r="A149" s="64">
        <v>344</v>
      </c>
      <c r="B149" s="64" t="s">
        <v>49</v>
      </c>
      <c r="C149" s="64" t="s">
        <v>304</v>
      </c>
      <c r="D149" s="65" t="s">
        <v>209</v>
      </c>
      <c r="E149" s="64">
        <v>5</v>
      </c>
      <c r="F149" s="64">
        <v>4.8</v>
      </c>
      <c r="G149" s="64">
        <v>5.0999999999999996</v>
      </c>
      <c r="H149" s="63">
        <v>5.0999999999999996</v>
      </c>
      <c r="I149" s="63">
        <v>3</v>
      </c>
      <c r="J149" s="63">
        <v>2.5</v>
      </c>
      <c r="K149" s="63">
        <v>4</v>
      </c>
      <c r="L149" s="63">
        <v>4</v>
      </c>
      <c r="M149" s="63">
        <v>5.0999999999999996</v>
      </c>
      <c r="N149" s="63">
        <v>5</v>
      </c>
      <c r="O149" s="63" t="s">
        <v>316</v>
      </c>
      <c r="P149" s="63">
        <f>N149-E149</f>
        <v>0</v>
      </c>
      <c r="Q149" s="66">
        <f>(N149-E149)/E149</f>
        <v>0</v>
      </c>
    </row>
    <row r="150" spans="1:17" ht="16" x14ac:dyDescent="0.2">
      <c r="A150" s="64">
        <v>345</v>
      </c>
      <c r="B150" s="64" t="s">
        <v>49</v>
      </c>
      <c r="C150" s="64" t="s">
        <v>304</v>
      </c>
      <c r="D150" s="65" t="s">
        <v>208</v>
      </c>
      <c r="E150" s="64">
        <v>7.2</v>
      </c>
      <c r="F150" s="64">
        <v>8.6</v>
      </c>
      <c r="G150" s="64">
        <v>9.3000000000000007</v>
      </c>
      <c r="H150" s="63">
        <v>9.6</v>
      </c>
      <c r="I150" s="63">
        <v>12.4</v>
      </c>
      <c r="J150" s="63">
        <v>14.5</v>
      </c>
      <c r="K150" s="63">
        <v>18.399999999999999</v>
      </c>
      <c r="L150" s="63">
        <v>11.1</v>
      </c>
      <c r="M150" s="63">
        <v>12.6</v>
      </c>
      <c r="N150" s="63">
        <v>14.6</v>
      </c>
      <c r="O150" s="63" t="s">
        <v>316</v>
      </c>
      <c r="P150" s="63">
        <f>N150-E150</f>
        <v>7.3999999999999995</v>
      </c>
      <c r="Q150" s="66">
        <f>(N150-E150)/E150</f>
        <v>1.0277777777777777</v>
      </c>
    </row>
    <row r="151" spans="1:17" ht="16" x14ac:dyDescent="0.2">
      <c r="A151" s="64">
        <v>346</v>
      </c>
      <c r="B151" s="64" t="s">
        <v>49</v>
      </c>
      <c r="C151" s="64" t="s">
        <v>304</v>
      </c>
      <c r="D151" s="65" t="s">
        <v>209</v>
      </c>
      <c r="E151" s="64">
        <v>4.2</v>
      </c>
      <c r="F151" s="64">
        <v>4.4000000000000004</v>
      </c>
      <c r="G151" s="64">
        <v>3.9</v>
      </c>
      <c r="H151" s="63">
        <v>3.9</v>
      </c>
      <c r="I151" s="63">
        <v>5.0999999999999996</v>
      </c>
      <c r="J151" s="63">
        <v>6</v>
      </c>
      <c r="K151" s="63">
        <v>7.7</v>
      </c>
      <c r="L151" s="63">
        <v>9</v>
      </c>
      <c r="M151" s="63">
        <v>8.5</v>
      </c>
      <c r="N151" s="63">
        <v>9.6</v>
      </c>
      <c r="O151" s="63" t="s">
        <v>316</v>
      </c>
      <c r="P151" s="63">
        <f>N151-E151</f>
        <v>5.3999999999999995</v>
      </c>
      <c r="Q151" s="66">
        <f>(N151-E151)/E151</f>
        <v>1.2857142857142856</v>
      </c>
    </row>
    <row r="152" spans="1:17" ht="16" x14ac:dyDescent="0.2">
      <c r="A152" s="64">
        <v>347</v>
      </c>
      <c r="B152" s="64" t="s">
        <v>49</v>
      </c>
      <c r="C152" s="64" t="s">
        <v>304</v>
      </c>
      <c r="D152" s="65" t="s">
        <v>208</v>
      </c>
      <c r="E152" s="64">
        <v>6.8</v>
      </c>
      <c r="F152" s="64">
        <v>8.5</v>
      </c>
      <c r="G152" s="64">
        <v>9</v>
      </c>
      <c r="H152" s="63">
        <v>9.1</v>
      </c>
      <c r="I152" s="63">
        <v>14.7</v>
      </c>
      <c r="J152" s="63">
        <v>20.6</v>
      </c>
      <c r="K152" s="63">
        <v>22.6</v>
      </c>
      <c r="L152" s="63">
        <v>14.1</v>
      </c>
      <c r="M152" s="63">
        <v>14.6</v>
      </c>
      <c r="N152" s="63">
        <v>15</v>
      </c>
      <c r="O152" s="63" t="s">
        <v>316</v>
      </c>
      <c r="P152" s="63">
        <f>N152-E152</f>
        <v>8.1999999999999993</v>
      </c>
      <c r="Q152" s="66">
        <f>(N152-E152)/E152</f>
        <v>1.2058823529411764</v>
      </c>
    </row>
    <row r="153" spans="1:17" ht="16" x14ac:dyDescent="0.2">
      <c r="A153" s="64">
        <v>348</v>
      </c>
      <c r="B153" s="64" t="s">
        <v>49</v>
      </c>
      <c r="C153" s="64" t="s">
        <v>304</v>
      </c>
      <c r="D153" s="65" t="s">
        <v>209</v>
      </c>
      <c r="E153" s="64">
        <v>6.6</v>
      </c>
      <c r="F153" s="64">
        <v>7.1</v>
      </c>
      <c r="G153" s="64">
        <v>7.2</v>
      </c>
      <c r="H153" s="63">
        <v>7.2</v>
      </c>
      <c r="I153" s="63">
        <v>8.5</v>
      </c>
      <c r="J153" s="63">
        <v>8.6999999999999993</v>
      </c>
      <c r="K153" s="63">
        <v>12.2</v>
      </c>
      <c r="L153" s="63">
        <v>13.8</v>
      </c>
      <c r="M153" s="63">
        <v>11.2</v>
      </c>
      <c r="N153" s="63">
        <v>12.6</v>
      </c>
      <c r="O153" s="63" t="s">
        <v>316</v>
      </c>
      <c r="P153" s="63">
        <f>N153-E153</f>
        <v>6</v>
      </c>
      <c r="Q153" s="66">
        <f>(N153-E153)/E153</f>
        <v>0.90909090909090917</v>
      </c>
    </row>
    <row r="154" spans="1:17" ht="16" x14ac:dyDescent="0.2">
      <c r="A154" s="64">
        <v>349</v>
      </c>
      <c r="B154" s="64" t="s">
        <v>49</v>
      </c>
      <c r="C154" s="64" t="s">
        <v>304</v>
      </c>
      <c r="D154" s="65" t="s">
        <v>209</v>
      </c>
      <c r="E154" s="64">
        <v>5.2</v>
      </c>
      <c r="F154" s="64">
        <v>5.2</v>
      </c>
      <c r="G154" s="64">
        <v>5.7</v>
      </c>
      <c r="H154" s="63">
        <v>5.9</v>
      </c>
      <c r="I154" s="63">
        <v>6.9</v>
      </c>
      <c r="J154" s="63">
        <v>6.9</v>
      </c>
      <c r="K154" s="63">
        <v>6.3</v>
      </c>
      <c r="L154" s="63">
        <v>8.1999999999999993</v>
      </c>
      <c r="M154" s="63">
        <v>7.6</v>
      </c>
      <c r="N154" s="63">
        <v>7.1</v>
      </c>
      <c r="O154" s="63" t="s">
        <v>316</v>
      </c>
      <c r="P154" s="63">
        <f>N154-E154</f>
        <v>1.8999999999999995</v>
      </c>
      <c r="Q154" s="66">
        <f>(N154-E154)/E154</f>
        <v>0.36538461538461525</v>
      </c>
    </row>
    <row r="155" spans="1:17" ht="16" x14ac:dyDescent="0.2">
      <c r="A155" s="64">
        <v>350</v>
      </c>
      <c r="B155" s="64" t="s">
        <v>49</v>
      </c>
      <c r="C155" s="64" t="s">
        <v>304</v>
      </c>
      <c r="D155" s="65" t="s">
        <v>208</v>
      </c>
      <c r="E155" s="64">
        <v>6.9</v>
      </c>
      <c r="F155" s="64">
        <v>8.6999999999999993</v>
      </c>
      <c r="G155" s="64">
        <v>10.5</v>
      </c>
      <c r="H155" s="63">
        <v>12</v>
      </c>
      <c r="I155" s="63">
        <v>10.7</v>
      </c>
      <c r="J155" s="63">
        <v>11.9</v>
      </c>
      <c r="K155" s="63">
        <v>18.399999999999999</v>
      </c>
      <c r="L155" s="63">
        <v>14.6</v>
      </c>
      <c r="M155" s="63">
        <v>19.399999999999999</v>
      </c>
      <c r="N155" s="63">
        <v>17.7</v>
      </c>
      <c r="O155" s="63" t="s">
        <v>316</v>
      </c>
      <c r="P155" s="63">
        <f>N155-E155</f>
        <v>10.799999999999999</v>
      </c>
      <c r="Q155" s="66">
        <f>(N155-E155)/E155</f>
        <v>1.5652173913043477</v>
      </c>
    </row>
    <row r="156" spans="1:17" ht="16" x14ac:dyDescent="0.2">
      <c r="A156" s="64">
        <v>351</v>
      </c>
      <c r="B156" s="64" t="s">
        <v>49</v>
      </c>
      <c r="C156" s="64" t="s">
        <v>304</v>
      </c>
      <c r="D156" s="65" t="s">
        <v>209</v>
      </c>
      <c r="E156" s="64">
        <v>5.0999999999999996</v>
      </c>
      <c r="F156" s="64">
        <v>5</v>
      </c>
      <c r="G156" s="64">
        <v>5.0999999999999996</v>
      </c>
      <c r="H156" s="63">
        <v>5.5</v>
      </c>
      <c r="I156" s="63">
        <v>5.7</v>
      </c>
      <c r="J156" s="63">
        <v>5.7</v>
      </c>
      <c r="K156" s="63">
        <v>8.3000000000000007</v>
      </c>
      <c r="L156" s="63">
        <v>8.3000000000000007</v>
      </c>
      <c r="M156" s="63">
        <v>13.5</v>
      </c>
      <c r="N156" s="63">
        <v>10.199999999999999</v>
      </c>
      <c r="O156" s="63" t="s">
        <v>316</v>
      </c>
      <c r="P156" s="63">
        <f>N156-E156</f>
        <v>5.0999999999999996</v>
      </c>
      <c r="Q156" s="66">
        <f>(N156-E156)/E156</f>
        <v>1</v>
      </c>
    </row>
    <row r="157" spans="1:17" ht="16" x14ac:dyDescent="0.2">
      <c r="A157" s="64">
        <v>352</v>
      </c>
      <c r="B157" s="64" t="s">
        <v>49</v>
      </c>
      <c r="C157" s="64" t="s">
        <v>304</v>
      </c>
      <c r="D157" s="65" t="s">
        <v>208</v>
      </c>
      <c r="E157" s="64">
        <v>7.5</v>
      </c>
      <c r="F157" s="64">
        <v>8.3000000000000007</v>
      </c>
      <c r="G157" s="64">
        <v>7.4</v>
      </c>
      <c r="H157" s="63">
        <v>10.3</v>
      </c>
      <c r="I157" s="63">
        <v>13.1</v>
      </c>
      <c r="J157" s="63">
        <v>16.8</v>
      </c>
      <c r="K157" s="63">
        <v>22.5</v>
      </c>
      <c r="L157" s="63">
        <v>15.6</v>
      </c>
      <c r="M157" s="63">
        <v>18</v>
      </c>
      <c r="N157" s="63">
        <v>20.7</v>
      </c>
      <c r="O157" s="63" t="s">
        <v>316</v>
      </c>
      <c r="P157" s="63">
        <f>N157-E157</f>
        <v>13.2</v>
      </c>
      <c r="Q157" s="66">
        <f>(N157-E157)/E157</f>
        <v>1.76</v>
      </c>
    </row>
    <row r="158" spans="1:17" ht="16" x14ac:dyDescent="0.2">
      <c r="A158" s="64">
        <v>353</v>
      </c>
      <c r="B158" s="64" t="s">
        <v>49</v>
      </c>
      <c r="C158" s="64" t="s">
        <v>304</v>
      </c>
      <c r="D158" s="65" t="s">
        <v>209</v>
      </c>
      <c r="E158" s="64">
        <v>5.8</v>
      </c>
      <c r="F158" s="64">
        <v>5.5</v>
      </c>
      <c r="G158" s="64">
        <v>6</v>
      </c>
      <c r="H158" s="63">
        <v>7</v>
      </c>
      <c r="I158" s="63">
        <v>8.3000000000000007</v>
      </c>
      <c r="J158" s="63">
        <v>8.1</v>
      </c>
      <c r="K158" s="63">
        <v>8.1</v>
      </c>
      <c r="L158" s="63">
        <v>11.4</v>
      </c>
      <c r="M158" s="63">
        <v>11</v>
      </c>
      <c r="N158" s="63">
        <v>11.7</v>
      </c>
      <c r="O158" s="63" t="s">
        <v>316</v>
      </c>
      <c r="P158" s="63">
        <f>N158-E158</f>
        <v>5.8999999999999995</v>
      </c>
      <c r="Q158" s="66">
        <f>(N158-E158)/E158</f>
        <v>1.0172413793103448</v>
      </c>
    </row>
    <row r="159" spans="1:17" ht="16" x14ac:dyDescent="0.2">
      <c r="A159" s="64">
        <v>354</v>
      </c>
      <c r="B159" s="64" t="s">
        <v>49</v>
      </c>
      <c r="C159" s="64" t="s">
        <v>304</v>
      </c>
      <c r="D159" s="65" t="s">
        <v>208</v>
      </c>
      <c r="E159" s="64">
        <v>9.1</v>
      </c>
      <c r="F159" s="64">
        <v>11</v>
      </c>
      <c r="G159" s="64">
        <v>13</v>
      </c>
      <c r="H159" s="63">
        <v>14</v>
      </c>
      <c r="I159" s="63">
        <v>18.8</v>
      </c>
      <c r="J159" s="63">
        <v>18.7</v>
      </c>
      <c r="K159" s="63">
        <v>17.100000000000001</v>
      </c>
      <c r="L159" s="63">
        <v>23.7</v>
      </c>
      <c r="M159" s="63">
        <v>16.8</v>
      </c>
      <c r="N159" s="63">
        <v>17.8</v>
      </c>
      <c r="O159" s="63" t="s">
        <v>316</v>
      </c>
      <c r="P159" s="63">
        <f>N159-E159</f>
        <v>8.7000000000000011</v>
      </c>
      <c r="Q159" s="66">
        <f>(N159-E159)/E159</f>
        <v>0.9560439560439562</v>
      </c>
    </row>
    <row r="160" spans="1:17" ht="16" x14ac:dyDescent="0.2">
      <c r="A160" s="64">
        <v>355</v>
      </c>
      <c r="B160" s="64" t="s">
        <v>49</v>
      </c>
      <c r="C160" s="64" t="s">
        <v>304</v>
      </c>
      <c r="D160" s="65" t="s">
        <v>208</v>
      </c>
      <c r="E160" s="64">
        <v>8</v>
      </c>
      <c r="F160" s="64">
        <v>11</v>
      </c>
      <c r="G160" s="64">
        <v>10.199999999999999</v>
      </c>
      <c r="H160" s="63">
        <v>12.6</v>
      </c>
      <c r="I160" s="63">
        <v>13.8</v>
      </c>
      <c r="J160" s="63">
        <v>16.399999999999999</v>
      </c>
      <c r="K160" s="63">
        <v>20.5</v>
      </c>
      <c r="L160" s="63">
        <v>23</v>
      </c>
      <c r="M160" s="63">
        <v>23.6</v>
      </c>
      <c r="N160" s="63">
        <v>25</v>
      </c>
      <c r="O160" s="63" t="s">
        <v>316</v>
      </c>
      <c r="P160" s="63">
        <f>N160-E160</f>
        <v>17</v>
      </c>
      <c r="Q160" s="66">
        <f>(N160-E160)/E160</f>
        <v>2.125</v>
      </c>
    </row>
    <row r="161" spans="1:17" ht="16" x14ac:dyDescent="0.2">
      <c r="A161" s="64">
        <v>356</v>
      </c>
      <c r="B161" s="64" t="s">
        <v>49</v>
      </c>
      <c r="C161" s="64" t="s">
        <v>304</v>
      </c>
      <c r="D161" s="65" t="s">
        <v>209</v>
      </c>
      <c r="E161" s="64">
        <v>5.6</v>
      </c>
      <c r="F161" s="64">
        <v>6.6</v>
      </c>
      <c r="G161" s="64">
        <v>5.5</v>
      </c>
      <c r="H161" s="63">
        <v>7</v>
      </c>
      <c r="I161" s="63">
        <v>8.5</v>
      </c>
      <c r="J161" s="63">
        <v>8.4</v>
      </c>
      <c r="K161" s="63">
        <v>9.5</v>
      </c>
      <c r="L161" s="63">
        <v>10.4</v>
      </c>
      <c r="M161" s="63">
        <v>11.9</v>
      </c>
      <c r="N161" s="63">
        <v>12.4</v>
      </c>
      <c r="O161" s="63" t="s">
        <v>316</v>
      </c>
      <c r="P161" s="63">
        <f>N161-E161</f>
        <v>6.8000000000000007</v>
      </c>
      <c r="Q161" s="66">
        <f>(N161-E161)/E161</f>
        <v>1.2142857142857144</v>
      </c>
    </row>
    <row r="162" spans="1:17" ht="16" x14ac:dyDescent="0.2">
      <c r="A162" s="64">
        <v>357</v>
      </c>
      <c r="B162" s="64" t="s">
        <v>49</v>
      </c>
      <c r="C162" s="64" t="s">
        <v>304</v>
      </c>
      <c r="D162" s="65" t="s">
        <v>208</v>
      </c>
      <c r="E162" s="64">
        <v>8.4</v>
      </c>
      <c r="F162" s="64">
        <v>9.6999999999999993</v>
      </c>
      <c r="G162" s="64">
        <v>9.6</v>
      </c>
      <c r="H162" s="63">
        <v>10.5</v>
      </c>
      <c r="I162" s="63">
        <v>11.7</v>
      </c>
      <c r="J162" s="63">
        <v>11.1</v>
      </c>
      <c r="K162" s="63">
        <v>15.2</v>
      </c>
      <c r="L162" s="63">
        <v>18.5</v>
      </c>
      <c r="M162" s="63">
        <v>20.9</v>
      </c>
      <c r="N162" s="63">
        <v>22.3</v>
      </c>
      <c r="O162" s="63" t="s">
        <v>316</v>
      </c>
      <c r="P162" s="63">
        <f>N162-E162</f>
        <v>13.9</v>
      </c>
      <c r="Q162" s="66">
        <f>(N162-E162)/E162</f>
        <v>1.6547619047619047</v>
      </c>
    </row>
    <row r="163" spans="1:17" ht="16" x14ac:dyDescent="0.2">
      <c r="A163" s="64">
        <v>358</v>
      </c>
      <c r="B163" s="64" t="s">
        <v>49</v>
      </c>
      <c r="C163" s="64" t="s">
        <v>304</v>
      </c>
      <c r="D163" s="65" t="s">
        <v>209</v>
      </c>
      <c r="E163" s="64">
        <v>6.4</v>
      </c>
      <c r="F163" s="64">
        <v>6.6</v>
      </c>
      <c r="G163" s="64">
        <v>5.0999999999999996</v>
      </c>
      <c r="H163" s="63">
        <v>7</v>
      </c>
      <c r="I163" s="63">
        <v>7.6</v>
      </c>
      <c r="J163" s="63">
        <v>7</v>
      </c>
      <c r="K163" s="63">
        <v>8.8000000000000007</v>
      </c>
      <c r="L163" s="63">
        <v>9.6</v>
      </c>
      <c r="M163" s="63">
        <v>9.6</v>
      </c>
      <c r="N163" s="63">
        <v>10</v>
      </c>
      <c r="O163" s="63" t="s">
        <v>316</v>
      </c>
      <c r="P163" s="63">
        <f>N163-E163</f>
        <v>3.5999999999999996</v>
      </c>
      <c r="Q163" s="66">
        <f>(N163-E163)/E163</f>
        <v>0.56249999999999989</v>
      </c>
    </row>
    <row r="164" spans="1:17" ht="16" x14ac:dyDescent="0.2">
      <c r="A164" s="64">
        <v>359</v>
      </c>
      <c r="B164" s="64" t="s">
        <v>49</v>
      </c>
      <c r="C164" s="64" t="s">
        <v>304</v>
      </c>
      <c r="D164" s="65" t="s">
        <v>208</v>
      </c>
      <c r="E164" s="64">
        <v>6</v>
      </c>
      <c r="F164" s="64">
        <v>6.4</v>
      </c>
      <c r="G164" s="64">
        <v>6.2</v>
      </c>
      <c r="H164" s="63">
        <v>7.3</v>
      </c>
      <c r="I164" s="63">
        <v>8.6999999999999993</v>
      </c>
      <c r="J164" s="63">
        <v>9.6</v>
      </c>
      <c r="K164" s="63">
        <v>15</v>
      </c>
      <c r="L164" s="63">
        <v>17.7</v>
      </c>
      <c r="M164" s="63">
        <v>18.8</v>
      </c>
      <c r="N164" s="63">
        <v>18.8</v>
      </c>
      <c r="O164" s="63" t="s">
        <v>316</v>
      </c>
      <c r="P164" s="63">
        <f>N164-E164</f>
        <v>12.8</v>
      </c>
      <c r="Q164" s="66">
        <f>(N164-E164)/E164</f>
        <v>2.1333333333333333</v>
      </c>
    </row>
    <row r="165" spans="1:17" ht="16" x14ac:dyDescent="0.2">
      <c r="A165" s="64">
        <v>360</v>
      </c>
      <c r="B165" s="64" t="s">
        <v>49</v>
      </c>
      <c r="C165" s="64" t="s">
        <v>304</v>
      </c>
      <c r="D165" s="65" t="s">
        <v>209</v>
      </c>
      <c r="E165" s="64">
        <v>4.8</v>
      </c>
      <c r="F165" s="64">
        <v>5.2</v>
      </c>
      <c r="G165" s="64">
        <v>4.4000000000000004</v>
      </c>
      <c r="H165" s="63">
        <v>5.2</v>
      </c>
      <c r="I165" s="63">
        <v>7</v>
      </c>
      <c r="J165" s="63">
        <v>6.4</v>
      </c>
      <c r="K165" s="63">
        <v>8.3000000000000007</v>
      </c>
      <c r="L165" s="63">
        <v>7</v>
      </c>
      <c r="M165" s="63">
        <v>9.6</v>
      </c>
      <c r="N165" s="63">
        <v>9.3000000000000007</v>
      </c>
      <c r="O165" s="63" t="s">
        <v>316</v>
      </c>
      <c r="P165" s="63">
        <f>N165-E165</f>
        <v>4.5000000000000009</v>
      </c>
      <c r="Q165" s="66">
        <f>(N165-E165)/E165</f>
        <v>0.93750000000000022</v>
      </c>
    </row>
    <row r="166" spans="1:17" ht="16" x14ac:dyDescent="0.2">
      <c r="A166" s="64">
        <v>19</v>
      </c>
      <c r="B166" s="64" t="s">
        <v>33</v>
      </c>
      <c r="C166" s="64" t="s">
        <v>227</v>
      </c>
      <c r="D166" s="65" t="s">
        <v>207</v>
      </c>
      <c r="E166" s="64">
        <v>5.5</v>
      </c>
      <c r="F166" s="64">
        <v>5.3</v>
      </c>
      <c r="G166" s="64">
        <v>5.3</v>
      </c>
      <c r="H166" s="63">
        <v>5.8</v>
      </c>
      <c r="I166" s="63">
        <v>7.2</v>
      </c>
      <c r="J166" s="63">
        <v>7.5</v>
      </c>
      <c r="K166" s="63">
        <v>10.3</v>
      </c>
      <c r="L166" s="63">
        <v>12.3</v>
      </c>
      <c r="M166" s="63">
        <v>11.6</v>
      </c>
      <c r="N166" s="63">
        <v>10.199999999999999</v>
      </c>
      <c r="O166" s="63" t="s">
        <v>316</v>
      </c>
      <c r="P166" s="63">
        <f>N166-E166</f>
        <v>4.6999999999999993</v>
      </c>
      <c r="Q166" s="66">
        <f>(N166-E166)/E166</f>
        <v>0.85454545454545439</v>
      </c>
    </row>
    <row r="167" spans="1:17" ht="16" x14ac:dyDescent="0.2">
      <c r="A167" s="64">
        <v>20</v>
      </c>
      <c r="B167" s="64" t="s">
        <v>33</v>
      </c>
      <c r="C167" s="64" t="s">
        <v>227</v>
      </c>
      <c r="D167" s="65" t="s">
        <v>207</v>
      </c>
      <c r="E167" s="64">
        <v>7</v>
      </c>
      <c r="F167" s="64">
        <v>6.4</v>
      </c>
      <c r="G167" s="64">
        <v>6.6</v>
      </c>
      <c r="H167" s="63">
        <v>6.8</v>
      </c>
      <c r="I167" s="63">
        <v>8.1</v>
      </c>
      <c r="J167" s="63">
        <v>7.6</v>
      </c>
      <c r="K167" s="63">
        <v>10.1</v>
      </c>
      <c r="L167" s="63">
        <v>11.9</v>
      </c>
      <c r="M167" s="63">
        <v>11.5</v>
      </c>
      <c r="N167" s="63">
        <v>10.5</v>
      </c>
      <c r="O167" s="63" t="s">
        <v>316</v>
      </c>
      <c r="P167" s="63">
        <f>N167-E167</f>
        <v>3.5</v>
      </c>
      <c r="Q167" s="66">
        <f>(N167-E167)/E167</f>
        <v>0.5</v>
      </c>
    </row>
    <row r="168" spans="1:17" ht="16" x14ac:dyDescent="0.2">
      <c r="A168" s="64">
        <v>21</v>
      </c>
      <c r="B168" s="64" t="s">
        <v>33</v>
      </c>
      <c r="C168" s="64" t="s">
        <v>227</v>
      </c>
      <c r="D168" s="65" t="s">
        <v>207</v>
      </c>
      <c r="E168" s="64">
        <v>4.9000000000000004</v>
      </c>
      <c r="F168" s="64">
        <v>3.8</v>
      </c>
      <c r="G168" s="64">
        <v>4.5</v>
      </c>
      <c r="H168" s="63">
        <v>4.8</v>
      </c>
      <c r="I168" s="63">
        <v>6.1</v>
      </c>
      <c r="J168" s="63">
        <v>4.5999999999999996</v>
      </c>
      <c r="K168" s="63">
        <v>9.8000000000000007</v>
      </c>
      <c r="L168" s="63">
        <v>10.1</v>
      </c>
      <c r="M168" s="63">
        <v>7.3</v>
      </c>
      <c r="N168" s="63">
        <v>8.1</v>
      </c>
      <c r="O168" s="63" t="s">
        <v>316</v>
      </c>
      <c r="P168" s="63">
        <f>N168-E168</f>
        <v>3.1999999999999993</v>
      </c>
      <c r="Q168" s="66">
        <f>(N168-E168)/E168</f>
        <v>0.65306122448979576</v>
      </c>
    </row>
    <row r="169" spans="1:17" ht="16" x14ac:dyDescent="0.2">
      <c r="A169" s="64">
        <v>22</v>
      </c>
      <c r="B169" s="64" t="s">
        <v>33</v>
      </c>
      <c r="C169" s="64" t="s">
        <v>227</v>
      </c>
      <c r="D169" s="65" t="s">
        <v>207</v>
      </c>
      <c r="E169" s="64">
        <v>4.0999999999999996</v>
      </c>
      <c r="F169" s="64">
        <v>4.5999999999999996</v>
      </c>
      <c r="G169" s="64">
        <v>3.3</v>
      </c>
      <c r="H169" s="63">
        <v>4</v>
      </c>
      <c r="I169" s="63">
        <v>4.5999999999999996</v>
      </c>
      <c r="J169" s="63">
        <v>4.2</v>
      </c>
      <c r="K169" s="63">
        <v>5.8</v>
      </c>
      <c r="L169" s="63">
        <v>5.5</v>
      </c>
      <c r="M169" s="63">
        <v>6.1</v>
      </c>
      <c r="N169" s="63">
        <v>5.8</v>
      </c>
      <c r="O169" s="63" t="s">
        <v>316</v>
      </c>
      <c r="P169" s="63">
        <f>N169-E169</f>
        <v>1.7000000000000002</v>
      </c>
      <c r="Q169" s="66">
        <f>(N169-E169)/E169</f>
        <v>0.41463414634146351</v>
      </c>
    </row>
    <row r="170" spans="1:17" ht="16" x14ac:dyDescent="0.2">
      <c r="A170" s="64">
        <v>23</v>
      </c>
      <c r="B170" s="64" t="s">
        <v>33</v>
      </c>
      <c r="C170" s="64" t="s">
        <v>227</v>
      </c>
      <c r="D170" s="65" t="s">
        <v>207</v>
      </c>
      <c r="E170" s="64">
        <v>6.7</v>
      </c>
      <c r="F170" s="64">
        <v>6.8</v>
      </c>
      <c r="G170" s="64">
        <v>6.6</v>
      </c>
      <c r="H170" s="63">
        <v>6.3</v>
      </c>
      <c r="I170" s="63">
        <v>8.3000000000000007</v>
      </c>
      <c r="J170" s="63">
        <v>9.1</v>
      </c>
      <c r="K170" s="63">
        <v>11.9</v>
      </c>
      <c r="L170" s="63">
        <v>13.6</v>
      </c>
      <c r="M170" s="63">
        <v>12.7</v>
      </c>
      <c r="N170" s="63">
        <v>11.7</v>
      </c>
      <c r="O170" s="63" t="s">
        <v>316</v>
      </c>
      <c r="P170" s="63">
        <f>N170-E170</f>
        <v>4.9999999999999991</v>
      </c>
      <c r="Q170" s="66">
        <f>(N170-E170)/E170</f>
        <v>0.74626865671641773</v>
      </c>
    </row>
    <row r="171" spans="1:17" ht="16" x14ac:dyDescent="0.2">
      <c r="A171" s="64">
        <v>24</v>
      </c>
      <c r="B171" s="64" t="s">
        <v>33</v>
      </c>
      <c r="C171" s="64" t="s">
        <v>227</v>
      </c>
      <c r="D171" s="65" t="s">
        <v>207</v>
      </c>
      <c r="E171" s="64">
        <v>5.2</v>
      </c>
      <c r="F171" s="64">
        <v>5.7</v>
      </c>
      <c r="G171" s="64">
        <v>4.3</v>
      </c>
      <c r="H171" s="63">
        <v>5.3</v>
      </c>
      <c r="I171" s="63">
        <v>6.7</v>
      </c>
      <c r="J171" s="63">
        <v>6.9</v>
      </c>
      <c r="K171" s="63">
        <v>9.1</v>
      </c>
      <c r="L171" s="63">
        <v>10.9</v>
      </c>
      <c r="M171" s="63">
        <v>10.5</v>
      </c>
      <c r="N171" s="63">
        <v>9.1999999999999993</v>
      </c>
      <c r="O171" s="63" t="s">
        <v>316</v>
      </c>
      <c r="P171" s="63">
        <f>N171-E171</f>
        <v>3.9999999999999991</v>
      </c>
      <c r="Q171" s="66">
        <f>(N171-E171)/E171</f>
        <v>0.76923076923076905</v>
      </c>
    </row>
    <row r="172" spans="1:17" ht="16" x14ac:dyDescent="0.2">
      <c r="A172" s="64">
        <v>25</v>
      </c>
      <c r="B172" s="64" t="s">
        <v>33</v>
      </c>
      <c r="C172" s="64" t="s">
        <v>227</v>
      </c>
      <c r="D172" s="65" t="s">
        <v>207</v>
      </c>
      <c r="E172" s="64">
        <v>6.2</v>
      </c>
      <c r="F172" s="64">
        <v>7.2</v>
      </c>
      <c r="G172" s="64">
        <v>6.4</v>
      </c>
      <c r="H172" s="63">
        <v>7.4</v>
      </c>
      <c r="I172" s="63">
        <v>9.1999999999999993</v>
      </c>
      <c r="J172" s="63">
        <v>9.5</v>
      </c>
      <c r="K172" s="63">
        <v>11.4</v>
      </c>
      <c r="L172" s="63">
        <v>12.6</v>
      </c>
      <c r="M172" s="63">
        <v>12.6</v>
      </c>
      <c r="N172" s="63">
        <v>13.7</v>
      </c>
      <c r="O172" s="63" t="s">
        <v>316</v>
      </c>
      <c r="P172" s="63">
        <f>N172-E172</f>
        <v>7.4999999999999991</v>
      </c>
      <c r="Q172" s="66">
        <f>(N172-E172)/E172</f>
        <v>1.2096774193548385</v>
      </c>
    </row>
    <row r="173" spans="1:17" ht="16" x14ac:dyDescent="0.2">
      <c r="A173" s="64">
        <v>26</v>
      </c>
      <c r="B173" s="64" t="s">
        <v>33</v>
      </c>
      <c r="C173" s="64" t="s">
        <v>227</v>
      </c>
      <c r="D173" s="65" t="s">
        <v>207</v>
      </c>
      <c r="E173" s="64">
        <v>4.8</v>
      </c>
      <c r="F173" s="64">
        <v>5</v>
      </c>
      <c r="G173" s="64">
        <v>6.2</v>
      </c>
      <c r="H173" s="63">
        <v>6.4</v>
      </c>
      <c r="I173" s="63">
        <v>7.2</v>
      </c>
      <c r="J173" s="63">
        <v>7.9</v>
      </c>
      <c r="K173" s="63">
        <v>8.1</v>
      </c>
      <c r="L173" s="63">
        <v>10.4</v>
      </c>
      <c r="M173" s="63">
        <v>11.3</v>
      </c>
      <c r="N173" s="63">
        <v>11.4</v>
      </c>
      <c r="O173" s="63" t="s">
        <v>316</v>
      </c>
      <c r="P173" s="63">
        <f>N173-E173</f>
        <v>6.6000000000000005</v>
      </c>
      <c r="Q173" s="66">
        <f>(N173-E173)/E173</f>
        <v>1.3750000000000002</v>
      </c>
    </row>
    <row r="174" spans="1:17" ht="16" x14ac:dyDescent="0.2">
      <c r="A174" s="64">
        <v>27</v>
      </c>
      <c r="B174" s="64" t="s">
        <v>33</v>
      </c>
      <c r="C174" s="64" t="s">
        <v>227</v>
      </c>
      <c r="D174" s="65" t="s">
        <v>207</v>
      </c>
      <c r="E174" s="64">
        <v>3.8</v>
      </c>
      <c r="F174" s="64">
        <v>4.3</v>
      </c>
      <c r="G174" s="64">
        <v>4.3</v>
      </c>
      <c r="H174" s="63">
        <v>4.9000000000000004</v>
      </c>
      <c r="I174" s="63">
        <v>6.9</v>
      </c>
      <c r="J174" s="63">
        <v>7</v>
      </c>
      <c r="K174" s="63">
        <v>9.6999999999999993</v>
      </c>
      <c r="L174" s="63">
        <v>9.9</v>
      </c>
      <c r="M174" s="63">
        <v>10.4</v>
      </c>
      <c r="N174" s="63">
        <v>10.6</v>
      </c>
      <c r="O174" s="63" t="s">
        <v>316</v>
      </c>
      <c r="P174" s="63">
        <f>N174-E174</f>
        <v>6.8</v>
      </c>
      <c r="Q174" s="66">
        <f>(N174-E174)/E174</f>
        <v>1.7894736842105263</v>
      </c>
    </row>
    <row r="175" spans="1:17" ht="16" x14ac:dyDescent="0.2">
      <c r="A175" s="64">
        <v>28</v>
      </c>
      <c r="B175" s="64" t="s">
        <v>33</v>
      </c>
      <c r="C175" s="64" t="s">
        <v>227</v>
      </c>
      <c r="D175" s="65" t="s">
        <v>207</v>
      </c>
      <c r="E175" s="64">
        <v>5.0999999999999996</v>
      </c>
      <c r="F175" s="64">
        <v>5.4</v>
      </c>
      <c r="G175" s="64">
        <v>5.2</v>
      </c>
      <c r="H175" s="63">
        <v>6.3</v>
      </c>
      <c r="I175" s="63">
        <v>7.3</v>
      </c>
      <c r="J175" s="63">
        <v>8.1999999999999993</v>
      </c>
      <c r="K175" s="63">
        <v>9.1999999999999993</v>
      </c>
      <c r="L175" s="63">
        <v>11.9</v>
      </c>
      <c r="M175" s="63">
        <v>11.9</v>
      </c>
      <c r="N175" s="63">
        <v>12.5</v>
      </c>
      <c r="O175" s="63" t="s">
        <v>316</v>
      </c>
      <c r="P175" s="63">
        <f>N175-E175</f>
        <v>7.4</v>
      </c>
      <c r="Q175" s="66">
        <f>(N175-E175)/E175</f>
        <v>1.4509803921568629</v>
      </c>
    </row>
    <row r="176" spans="1:17" ht="16" x14ac:dyDescent="0.2">
      <c r="A176" s="64">
        <v>29</v>
      </c>
      <c r="B176" s="64" t="s">
        <v>33</v>
      </c>
      <c r="C176" s="64" t="s">
        <v>227</v>
      </c>
      <c r="D176" s="65" t="s">
        <v>207</v>
      </c>
      <c r="E176" s="64">
        <v>5.6</v>
      </c>
      <c r="F176" s="64">
        <v>6.2</v>
      </c>
      <c r="G176" s="64">
        <v>6.6</v>
      </c>
      <c r="H176" s="63">
        <v>6.9</v>
      </c>
      <c r="I176" s="63">
        <v>9.3000000000000007</v>
      </c>
      <c r="J176" s="63">
        <v>10</v>
      </c>
      <c r="K176" s="63">
        <v>12.4</v>
      </c>
      <c r="L176" s="63">
        <v>14.8</v>
      </c>
      <c r="M176" s="63">
        <v>14.3</v>
      </c>
      <c r="N176" s="63">
        <v>15.1</v>
      </c>
      <c r="O176" s="63" t="s">
        <v>316</v>
      </c>
      <c r="P176" s="63">
        <f>N176-E176</f>
        <v>9.5</v>
      </c>
      <c r="Q176" s="66">
        <f>(N176-E176)/E176</f>
        <v>1.6964285714285716</v>
      </c>
    </row>
    <row r="177" spans="1:17" ht="16" x14ac:dyDescent="0.2">
      <c r="A177" s="64">
        <v>30</v>
      </c>
      <c r="B177" s="64" t="s">
        <v>33</v>
      </c>
      <c r="C177" s="64" t="s">
        <v>227</v>
      </c>
      <c r="D177" s="65" t="s">
        <v>207</v>
      </c>
      <c r="E177" s="64">
        <v>5.9</v>
      </c>
      <c r="F177" s="64">
        <v>5.5</v>
      </c>
      <c r="G177" s="64">
        <v>5.6</v>
      </c>
      <c r="H177" s="63">
        <v>6.8</v>
      </c>
      <c r="I177" s="63">
        <v>8</v>
      </c>
      <c r="J177" s="63">
        <v>9.1999999999999993</v>
      </c>
      <c r="K177" s="63">
        <v>10.9</v>
      </c>
      <c r="L177" s="63">
        <v>13.2</v>
      </c>
      <c r="M177" s="63">
        <v>12.6</v>
      </c>
      <c r="N177" s="63">
        <v>12.8</v>
      </c>
      <c r="O177" s="63" t="s">
        <v>316</v>
      </c>
      <c r="P177" s="63">
        <f>N177-E177</f>
        <v>6.9</v>
      </c>
      <c r="Q177" s="66">
        <f>(N177-E177)/E177</f>
        <v>1.1694915254237288</v>
      </c>
    </row>
    <row r="178" spans="1:17" ht="16" x14ac:dyDescent="0.2">
      <c r="A178" s="64">
        <v>31</v>
      </c>
      <c r="B178" s="64" t="s">
        <v>33</v>
      </c>
      <c r="C178" s="64" t="s">
        <v>227</v>
      </c>
      <c r="D178" s="65" t="s">
        <v>207</v>
      </c>
      <c r="E178" s="64">
        <v>4.5</v>
      </c>
      <c r="F178" s="64">
        <v>5.6</v>
      </c>
      <c r="G178" s="64">
        <v>5.6</v>
      </c>
      <c r="H178" s="63">
        <v>6.4</v>
      </c>
      <c r="I178" s="63">
        <v>7.2</v>
      </c>
      <c r="J178" s="63">
        <v>7.8</v>
      </c>
      <c r="K178" s="63">
        <v>8.9</v>
      </c>
      <c r="L178" s="63">
        <v>12.8</v>
      </c>
      <c r="M178" s="63">
        <v>11.6</v>
      </c>
      <c r="N178" s="63">
        <v>10.5</v>
      </c>
      <c r="O178" s="63" t="s">
        <v>316</v>
      </c>
      <c r="P178" s="63">
        <f>N178-E178</f>
        <v>6</v>
      </c>
      <c r="Q178" s="66">
        <f>(N178-E178)/E178</f>
        <v>1.3333333333333333</v>
      </c>
    </row>
    <row r="179" spans="1:17" ht="16" x14ac:dyDescent="0.2">
      <c r="A179" s="64">
        <v>32</v>
      </c>
      <c r="B179" s="64" t="s">
        <v>33</v>
      </c>
      <c r="C179" s="64" t="s">
        <v>227</v>
      </c>
      <c r="D179" s="65" t="s">
        <v>207</v>
      </c>
      <c r="E179" s="64">
        <v>5</v>
      </c>
      <c r="F179" s="64">
        <v>4.3</v>
      </c>
      <c r="G179" s="64">
        <v>4.4000000000000004</v>
      </c>
      <c r="H179" s="63">
        <v>5.0999999999999996</v>
      </c>
      <c r="I179" s="63">
        <v>4.7</v>
      </c>
      <c r="J179" s="63">
        <v>4.8</v>
      </c>
      <c r="K179" s="63">
        <v>6.2</v>
      </c>
      <c r="L179" s="63">
        <v>8.8000000000000007</v>
      </c>
      <c r="M179" s="63">
        <v>9.1999999999999993</v>
      </c>
      <c r="N179" s="63">
        <v>8.1999999999999993</v>
      </c>
      <c r="O179" s="63" t="s">
        <v>316</v>
      </c>
      <c r="P179" s="63">
        <f>N179-E179</f>
        <v>3.1999999999999993</v>
      </c>
      <c r="Q179" s="66">
        <f>(N179-E179)/E179</f>
        <v>0.6399999999999999</v>
      </c>
    </row>
    <row r="180" spans="1:17" ht="16" x14ac:dyDescent="0.2">
      <c r="A180" s="64">
        <v>33</v>
      </c>
      <c r="B180" s="64" t="s">
        <v>33</v>
      </c>
      <c r="C180" s="64" t="s">
        <v>227</v>
      </c>
      <c r="D180" s="65" t="s">
        <v>207</v>
      </c>
      <c r="E180" s="64">
        <v>4.5</v>
      </c>
      <c r="F180" s="64">
        <v>5.3</v>
      </c>
      <c r="G180" s="64">
        <v>5.0999999999999996</v>
      </c>
      <c r="H180" s="63">
        <v>7.8</v>
      </c>
      <c r="I180" s="63">
        <v>7.1</v>
      </c>
      <c r="J180" s="63">
        <v>8</v>
      </c>
      <c r="K180" s="63">
        <v>10.8</v>
      </c>
      <c r="L180" s="63">
        <v>12.7</v>
      </c>
      <c r="M180" s="63">
        <v>13.2</v>
      </c>
      <c r="N180" s="63">
        <v>13.2</v>
      </c>
      <c r="O180" s="63" t="s">
        <v>316</v>
      </c>
      <c r="P180" s="63">
        <f>N180-E180</f>
        <v>8.6999999999999993</v>
      </c>
      <c r="Q180" s="66">
        <f>(N180-E180)/E180</f>
        <v>1.9333333333333331</v>
      </c>
    </row>
    <row r="181" spans="1:17" ht="16" x14ac:dyDescent="0.2">
      <c r="A181" s="64">
        <v>34</v>
      </c>
      <c r="B181" s="64" t="s">
        <v>33</v>
      </c>
      <c r="C181" s="64" t="s">
        <v>227</v>
      </c>
      <c r="D181" s="65" t="s">
        <v>207</v>
      </c>
      <c r="E181" s="64">
        <v>5</v>
      </c>
      <c r="F181" s="64">
        <v>5.6</v>
      </c>
      <c r="G181" s="64">
        <v>6</v>
      </c>
      <c r="H181" s="63">
        <v>7.5</v>
      </c>
      <c r="I181" s="63">
        <v>7</v>
      </c>
      <c r="J181" s="63">
        <v>7.2</v>
      </c>
      <c r="K181" s="63">
        <v>10.7</v>
      </c>
      <c r="L181" s="63">
        <v>13.2</v>
      </c>
      <c r="M181" s="63">
        <v>12.4</v>
      </c>
      <c r="N181" s="63">
        <v>11.3</v>
      </c>
      <c r="O181" s="63" t="s">
        <v>316</v>
      </c>
      <c r="P181" s="63">
        <f>N181-E181</f>
        <v>6.3000000000000007</v>
      </c>
      <c r="Q181" s="66">
        <f>(N181-E181)/E181</f>
        <v>1.2600000000000002</v>
      </c>
    </row>
    <row r="182" spans="1:17" ht="16" x14ac:dyDescent="0.2">
      <c r="A182" s="64">
        <v>35</v>
      </c>
      <c r="B182" s="64" t="s">
        <v>33</v>
      </c>
      <c r="C182" s="64" t="s">
        <v>227</v>
      </c>
      <c r="D182" s="65" t="s">
        <v>207</v>
      </c>
      <c r="E182" s="64">
        <v>6.3</v>
      </c>
      <c r="F182" s="64">
        <v>6.2</v>
      </c>
      <c r="G182" s="64">
        <v>6.5</v>
      </c>
      <c r="H182" s="63">
        <v>7.6</v>
      </c>
      <c r="I182" s="63">
        <v>7.3</v>
      </c>
      <c r="J182" s="63">
        <v>8.6999999999999993</v>
      </c>
      <c r="K182" s="63">
        <v>10</v>
      </c>
      <c r="L182" s="63">
        <v>11.7</v>
      </c>
      <c r="M182" s="63">
        <v>13.9</v>
      </c>
      <c r="N182" s="63">
        <v>12.1</v>
      </c>
      <c r="O182" s="63" t="s">
        <v>316</v>
      </c>
      <c r="P182" s="63">
        <f>N182-E182</f>
        <v>5.8</v>
      </c>
      <c r="Q182" s="66">
        <f>(N182-E182)/E182</f>
        <v>0.92063492063492058</v>
      </c>
    </row>
    <row r="183" spans="1:17" ht="16" x14ac:dyDescent="0.2">
      <c r="A183" s="64">
        <v>36</v>
      </c>
      <c r="B183" s="64" t="s">
        <v>33</v>
      </c>
      <c r="C183" s="64" t="s">
        <v>227</v>
      </c>
      <c r="D183" s="65" t="s">
        <v>207</v>
      </c>
      <c r="E183" s="64">
        <v>4.4000000000000004</v>
      </c>
      <c r="F183" s="64">
        <v>5.0999999999999996</v>
      </c>
      <c r="G183" s="64">
        <v>4.9000000000000004</v>
      </c>
      <c r="H183" s="63">
        <v>5.3</v>
      </c>
      <c r="I183" s="63">
        <v>5.4</v>
      </c>
      <c r="J183" s="63">
        <v>5.9</v>
      </c>
      <c r="K183" s="63">
        <v>8</v>
      </c>
      <c r="L183" s="63">
        <v>10.8</v>
      </c>
      <c r="M183" s="63">
        <v>10.7</v>
      </c>
      <c r="N183" s="63">
        <v>10.6</v>
      </c>
      <c r="O183" s="63" t="s">
        <v>316</v>
      </c>
      <c r="P183" s="63">
        <f>N183-E183</f>
        <v>6.1999999999999993</v>
      </c>
      <c r="Q183" s="66">
        <f>(N183-E183)/E183</f>
        <v>1.4090909090909087</v>
      </c>
    </row>
    <row r="184" spans="1:17" ht="16" x14ac:dyDescent="0.2">
      <c r="A184" s="64">
        <v>37</v>
      </c>
      <c r="B184" s="64" t="s">
        <v>34</v>
      </c>
      <c r="C184" s="64" t="s">
        <v>227</v>
      </c>
      <c r="D184" s="65" t="s">
        <v>208</v>
      </c>
      <c r="E184" s="64">
        <v>6.7</v>
      </c>
      <c r="F184" s="64">
        <v>7.3</v>
      </c>
      <c r="G184" s="64">
        <v>7.8</v>
      </c>
      <c r="H184" s="63">
        <v>8.3000000000000007</v>
      </c>
      <c r="I184" s="63">
        <v>10.9</v>
      </c>
      <c r="J184" s="63">
        <v>13.5</v>
      </c>
      <c r="K184" s="63">
        <v>9.9</v>
      </c>
      <c r="L184" s="63">
        <v>9.9</v>
      </c>
      <c r="M184" s="63">
        <v>9.6999999999999993</v>
      </c>
      <c r="N184" s="63">
        <v>10.5</v>
      </c>
      <c r="O184" s="63" t="s">
        <v>316</v>
      </c>
      <c r="P184" s="63">
        <f>N184-E184</f>
        <v>3.8</v>
      </c>
      <c r="Q184" s="66">
        <f>(N184-E184)/E184</f>
        <v>0.56716417910447758</v>
      </c>
    </row>
    <row r="185" spans="1:17" ht="16" x14ac:dyDescent="0.2">
      <c r="A185" s="64">
        <v>38</v>
      </c>
      <c r="B185" s="64" t="s">
        <v>34</v>
      </c>
      <c r="C185" s="64" t="s">
        <v>227</v>
      </c>
      <c r="D185" s="65" t="s">
        <v>208</v>
      </c>
      <c r="E185" s="64">
        <v>6.9</v>
      </c>
      <c r="F185" s="64">
        <v>7.5</v>
      </c>
      <c r="G185" s="64">
        <v>7.3</v>
      </c>
      <c r="H185" s="63">
        <v>7.3</v>
      </c>
      <c r="I185" s="63">
        <v>10.8</v>
      </c>
      <c r="J185" s="63">
        <v>11</v>
      </c>
      <c r="K185" s="63">
        <v>19.7</v>
      </c>
      <c r="L185" s="63">
        <v>20.100000000000001</v>
      </c>
      <c r="M185" s="63">
        <v>26.1</v>
      </c>
      <c r="N185" s="63">
        <v>25.3</v>
      </c>
      <c r="O185" s="63" t="s">
        <v>316</v>
      </c>
      <c r="P185" s="63">
        <f>N185-E185</f>
        <v>18.399999999999999</v>
      </c>
      <c r="Q185" s="66">
        <f>(N185-E185)/E185</f>
        <v>2.6666666666666665</v>
      </c>
    </row>
    <row r="186" spans="1:17" ht="16" x14ac:dyDescent="0.2">
      <c r="A186" s="64">
        <v>39</v>
      </c>
      <c r="B186" s="64" t="s">
        <v>34</v>
      </c>
      <c r="C186" s="64" t="s">
        <v>227</v>
      </c>
      <c r="D186" s="65" t="s">
        <v>208</v>
      </c>
      <c r="E186" s="64">
        <v>9.5</v>
      </c>
      <c r="F186" s="64">
        <v>11</v>
      </c>
      <c r="G186" s="64">
        <v>10.4</v>
      </c>
      <c r="H186" s="63">
        <v>10.4</v>
      </c>
      <c r="I186" s="63">
        <v>15.3</v>
      </c>
      <c r="J186" s="63">
        <v>17.399999999999999</v>
      </c>
      <c r="K186" s="63">
        <v>25.3</v>
      </c>
      <c r="L186" s="63">
        <v>26.5</v>
      </c>
      <c r="M186" s="63">
        <v>30.7</v>
      </c>
      <c r="N186" s="63">
        <v>31</v>
      </c>
      <c r="O186" s="63" t="s">
        <v>316</v>
      </c>
      <c r="P186" s="63">
        <f>N186-E186</f>
        <v>21.5</v>
      </c>
      <c r="Q186" s="66">
        <f>(N186-E186)/E186</f>
        <v>2.263157894736842</v>
      </c>
    </row>
    <row r="187" spans="1:17" ht="16" x14ac:dyDescent="0.2">
      <c r="A187" s="64">
        <v>40</v>
      </c>
      <c r="B187" s="64" t="s">
        <v>34</v>
      </c>
      <c r="C187" s="64" t="s">
        <v>227</v>
      </c>
      <c r="D187" s="65" t="s">
        <v>208</v>
      </c>
      <c r="E187" s="64">
        <v>4.9000000000000004</v>
      </c>
      <c r="F187" s="64">
        <v>6.3</v>
      </c>
      <c r="G187" s="64">
        <v>6.1</v>
      </c>
      <c r="H187" s="63">
        <v>5.9</v>
      </c>
      <c r="I187" s="63">
        <v>9.6999999999999993</v>
      </c>
      <c r="J187" s="63">
        <v>12.5</v>
      </c>
      <c r="K187" s="63">
        <v>17.3</v>
      </c>
      <c r="L187" s="63">
        <v>19.2</v>
      </c>
      <c r="M187" s="63">
        <v>22.1</v>
      </c>
      <c r="N187" s="63">
        <v>22.6</v>
      </c>
      <c r="O187" s="63" t="s">
        <v>316</v>
      </c>
      <c r="P187" s="63">
        <f>N187-E187</f>
        <v>17.700000000000003</v>
      </c>
      <c r="Q187" s="66">
        <f>(N187-E187)/E187</f>
        <v>3.6122448979591839</v>
      </c>
    </row>
    <row r="188" spans="1:17" ht="16" x14ac:dyDescent="0.2">
      <c r="A188" s="64">
        <v>41</v>
      </c>
      <c r="B188" s="64" t="s">
        <v>34</v>
      </c>
      <c r="C188" s="64" t="s">
        <v>227</v>
      </c>
      <c r="D188" s="65" t="s">
        <v>208</v>
      </c>
      <c r="E188" s="64">
        <v>4.8</v>
      </c>
      <c r="F188" s="64">
        <v>5.7</v>
      </c>
      <c r="G188" s="64">
        <v>5.6</v>
      </c>
      <c r="H188" s="63">
        <v>5.5</v>
      </c>
      <c r="I188" s="63">
        <v>7.5</v>
      </c>
      <c r="J188" s="63">
        <v>9.6</v>
      </c>
      <c r="K188" s="63">
        <v>14</v>
      </c>
      <c r="L188" s="63">
        <v>15.9</v>
      </c>
      <c r="M188" s="63">
        <v>19.100000000000001</v>
      </c>
      <c r="N188" s="63">
        <v>20</v>
      </c>
      <c r="O188" s="63" t="s">
        <v>316</v>
      </c>
      <c r="P188" s="63">
        <f>N188-E188</f>
        <v>15.2</v>
      </c>
      <c r="Q188" s="66">
        <f>(N188-E188)/E188</f>
        <v>3.1666666666666665</v>
      </c>
    </row>
    <row r="189" spans="1:17" ht="16" x14ac:dyDescent="0.2">
      <c r="A189" s="64">
        <v>42</v>
      </c>
      <c r="B189" s="64" t="s">
        <v>34</v>
      </c>
      <c r="C189" s="64" t="s">
        <v>227</v>
      </c>
      <c r="D189" s="65" t="s">
        <v>208</v>
      </c>
      <c r="E189" s="64">
        <v>4.4000000000000004</v>
      </c>
      <c r="F189" s="64">
        <v>4.9000000000000004</v>
      </c>
      <c r="G189" s="64">
        <v>5.0999999999999996</v>
      </c>
      <c r="H189" s="63">
        <v>5.3</v>
      </c>
      <c r="I189" s="63">
        <v>5.5</v>
      </c>
      <c r="J189" s="63">
        <v>7.4</v>
      </c>
      <c r="K189" s="63">
        <v>10.5</v>
      </c>
      <c r="L189" s="63">
        <v>10.5</v>
      </c>
      <c r="M189" s="63">
        <v>12.9</v>
      </c>
      <c r="N189" s="63">
        <v>13.1</v>
      </c>
      <c r="O189" s="63" t="s">
        <v>316</v>
      </c>
      <c r="P189" s="63">
        <f>N189-E189</f>
        <v>8.6999999999999993</v>
      </c>
      <c r="Q189" s="66">
        <f>(N189-E189)/E189</f>
        <v>1.9772727272727268</v>
      </c>
    </row>
    <row r="190" spans="1:17" ht="16" x14ac:dyDescent="0.2">
      <c r="A190" s="64">
        <v>43</v>
      </c>
      <c r="B190" s="64" t="s">
        <v>34</v>
      </c>
      <c r="C190" s="64" t="s">
        <v>227</v>
      </c>
      <c r="D190" s="65" t="s">
        <v>208</v>
      </c>
      <c r="E190" s="64">
        <v>8.9</v>
      </c>
      <c r="F190" s="64">
        <v>11.9</v>
      </c>
      <c r="G190" s="64">
        <v>12.3</v>
      </c>
      <c r="H190" s="63">
        <v>14</v>
      </c>
      <c r="I190" s="63">
        <v>16.899999999999999</v>
      </c>
      <c r="J190" s="63">
        <v>17.100000000000001</v>
      </c>
      <c r="K190" s="63">
        <v>17.899999999999999</v>
      </c>
      <c r="L190" s="63">
        <v>20.8</v>
      </c>
      <c r="M190" s="63">
        <v>23.1</v>
      </c>
      <c r="N190" s="63">
        <v>24.4</v>
      </c>
      <c r="O190" s="63" t="s">
        <v>316</v>
      </c>
      <c r="P190" s="63">
        <f>N190-E190</f>
        <v>15.499999999999998</v>
      </c>
      <c r="Q190" s="66">
        <f>(N190-E190)/E190</f>
        <v>1.741573033707865</v>
      </c>
    </row>
    <row r="191" spans="1:17" ht="16" x14ac:dyDescent="0.2">
      <c r="A191" s="64">
        <v>44</v>
      </c>
      <c r="B191" s="64" t="s">
        <v>34</v>
      </c>
      <c r="C191" s="64" t="s">
        <v>227</v>
      </c>
      <c r="D191" s="65" t="s">
        <v>208</v>
      </c>
      <c r="E191" s="64">
        <v>6.3</v>
      </c>
      <c r="F191" s="64">
        <v>6.9</v>
      </c>
      <c r="G191" s="64">
        <v>7.3</v>
      </c>
      <c r="H191" s="63">
        <v>8.6</v>
      </c>
      <c r="I191" s="63">
        <v>9.4</v>
      </c>
      <c r="J191" s="63">
        <v>10.1</v>
      </c>
      <c r="K191" s="63">
        <v>14</v>
      </c>
      <c r="L191" s="63">
        <v>16.5</v>
      </c>
      <c r="M191" s="63">
        <v>18.8</v>
      </c>
      <c r="N191" s="63">
        <v>9.1</v>
      </c>
      <c r="O191" s="63" t="s">
        <v>316</v>
      </c>
      <c r="P191" s="63">
        <f>N191-E191</f>
        <v>2.8</v>
      </c>
      <c r="Q191" s="66">
        <f>(N191-E191)/E191</f>
        <v>0.44444444444444442</v>
      </c>
    </row>
    <row r="192" spans="1:17" ht="16" x14ac:dyDescent="0.2">
      <c r="A192" s="64">
        <v>45</v>
      </c>
      <c r="B192" s="64" t="s">
        <v>34</v>
      </c>
      <c r="C192" s="64" t="s">
        <v>227</v>
      </c>
      <c r="D192" s="65" t="s">
        <v>208</v>
      </c>
      <c r="E192" s="64">
        <v>5.9</v>
      </c>
      <c r="F192" s="64">
        <v>8</v>
      </c>
      <c r="G192" s="64">
        <v>8.5</v>
      </c>
      <c r="H192" s="63">
        <v>9.5</v>
      </c>
      <c r="I192" s="63">
        <v>11.6</v>
      </c>
      <c r="J192" s="63">
        <v>13.6</v>
      </c>
      <c r="K192" s="63">
        <v>16.899999999999999</v>
      </c>
      <c r="L192" s="63">
        <v>17</v>
      </c>
      <c r="M192" s="63">
        <v>19.3</v>
      </c>
      <c r="N192" s="63">
        <v>18.2</v>
      </c>
      <c r="O192" s="63" t="s">
        <v>316</v>
      </c>
      <c r="P192" s="63">
        <f>N192-E192</f>
        <v>12.299999999999999</v>
      </c>
      <c r="Q192" s="66">
        <f>(N192-E192)/E192</f>
        <v>2.0847457627118642</v>
      </c>
    </row>
    <row r="193" spans="1:17" ht="16" x14ac:dyDescent="0.2">
      <c r="A193" s="64">
        <v>46</v>
      </c>
      <c r="B193" s="64" t="s">
        <v>34</v>
      </c>
      <c r="C193" s="64" t="s">
        <v>227</v>
      </c>
      <c r="D193" s="65" t="s">
        <v>208</v>
      </c>
      <c r="E193" s="64">
        <v>8.6</v>
      </c>
      <c r="F193" s="64">
        <v>10.4</v>
      </c>
      <c r="G193" s="64">
        <v>10.7</v>
      </c>
      <c r="H193" s="63">
        <v>12.3</v>
      </c>
      <c r="I193" s="63">
        <v>14.1</v>
      </c>
      <c r="J193" s="63">
        <v>15.1</v>
      </c>
      <c r="K193" s="63">
        <v>18.5</v>
      </c>
      <c r="L193" s="63">
        <v>20.9</v>
      </c>
      <c r="M193" s="63">
        <v>22.1</v>
      </c>
      <c r="N193" s="63">
        <v>21.8</v>
      </c>
      <c r="O193" s="63" t="s">
        <v>316</v>
      </c>
      <c r="P193" s="63">
        <f>N193-E193</f>
        <v>13.200000000000001</v>
      </c>
      <c r="Q193" s="66">
        <f>(N193-E193)/E193</f>
        <v>1.5348837209302328</v>
      </c>
    </row>
    <row r="194" spans="1:17" ht="16" x14ac:dyDescent="0.2">
      <c r="A194" s="64">
        <v>47</v>
      </c>
      <c r="B194" s="64" t="s">
        <v>34</v>
      </c>
      <c r="C194" s="64" t="s">
        <v>227</v>
      </c>
      <c r="D194" s="65" t="s">
        <v>208</v>
      </c>
      <c r="E194" s="64">
        <v>7.4</v>
      </c>
      <c r="F194" s="64">
        <v>8.1</v>
      </c>
      <c r="G194" s="64">
        <v>9</v>
      </c>
      <c r="H194" s="63">
        <v>9.9</v>
      </c>
      <c r="I194" s="63">
        <v>11.9</v>
      </c>
      <c r="J194" s="63">
        <v>13.1</v>
      </c>
      <c r="K194" s="63">
        <v>14.7</v>
      </c>
      <c r="L194" s="63">
        <v>12.8</v>
      </c>
      <c r="M194" s="63">
        <v>13.8</v>
      </c>
      <c r="N194" s="63">
        <v>15.3</v>
      </c>
      <c r="O194" s="63" t="s">
        <v>316</v>
      </c>
      <c r="P194" s="63">
        <f>N194-E194</f>
        <v>7.9</v>
      </c>
      <c r="Q194" s="66">
        <f>(N194-E194)/E194</f>
        <v>1.0675675675675675</v>
      </c>
    </row>
    <row r="195" spans="1:17" ht="16" x14ac:dyDescent="0.2">
      <c r="A195" s="64">
        <v>48</v>
      </c>
      <c r="B195" s="64" t="s">
        <v>34</v>
      </c>
      <c r="C195" s="64" t="s">
        <v>227</v>
      </c>
      <c r="D195" s="65" t="s">
        <v>208</v>
      </c>
      <c r="E195" s="64">
        <v>7.8</v>
      </c>
      <c r="F195" s="64">
        <v>8.8000000000000007</v>
      </c>
      <c r="G195" s="64">
        <v>9.6</v>
      </c>
      <c r="H195" s="63">
        <v>10.8</v>
      </c>
      <c r="I195" s="63">
        <v>12.1</v>
      </c>
      <c r="J195" s="63">
        <v>14.1</v>
      </c>
      <c r="K195" s="63">
        <v>23.4</v>
      </c>
      <c r="L195" s="63">
        <v>20.6</v>
      </c>
      <c r="M195" s="63">
        <v>21.9</v>
      </c>
      <c r="N195" s="63">
        <v>24.4</v>
      </c>
      <c r="O195" s="63" t="s">
        <v>316</v>
      </c>
      <c r="P195" s="63">
        <f>N195-E195</f>
        <v>16.599999999999998</v>
      </c>
      <c r="Q195" s="66">
        <f>(N195-E195)/E195</f>
        <v>2.1282051282051282</v>
      </c>
    </row>
    <row r="196" spans="1:17" ht="16" x14ac:dyDescent="0.2">
      <c r="A196" s="64">
        <v>49</v>
      </c>
      <c r="B196" s="64" t="s">
        <v>34</v>
      </c>
      <c r="C196" s="64" t="s">
        <v>227</v>
      </c>
      <c r="D196" s="65" t="s">
        <v>208</v>
      </c>
      <c r="E196" s="64">
        <v>5.3</v>
      </c>
      <c r="F196" s="64">
        <v>5.8</v>
      </c>
      <c r="G196" s="64">
        <v>6.7</v>
      </c>
      <c r="H196" s="63">
        <v>7.7</v>
      </c>
      <c r="I196" s="63">
        <v>9.4</v>
      </c>
      <c r="J196" s="63">
        <v>12.1</v>
      </c>
      <c r="K196" s="63">
        <v>16.5</v>
      </c>
      <c r="L196" s="63">
        <v>18.3</v>
      </c>
      <c r="M196" s="63">
        <v>20.5</v>
      </c>
      <c r="N196" s="63">
        <v>21.9</v>
      </c>
      <c r="O196" s="63" t="s">
        <v>316</v>
      </c>
      <c r="P196" s="63">
        <f>N196-E196</f>
        <v>16.599999999999998</v>
      </c>
      <c r="Q196" s="66">
        <f>(N196-E196)/E196</f>
        <v>3.132075471698113</v>
      </c>
    </row>
    <row r="197" spans="1:17" ht="16" x14ac:dyDescent="0.2">
      <c r="A197" s="64">
        <v>50</v>
      </c>
      <c r="B197" s="64" t="s">
        <v>34</v>
      </c>
      <c r="C197" s="64" t="s">
        <v>227</v>
      </c>
      <c r="D197" s="65" t="s">
        <v>208</v>
      </c>
      <c r="E197" s="64">
        <v>5.7</v>
      </c>
      <c r="F197" s="64">
        <v>6.5</v>
      </c>
      <c r="G197" s="64">
        <v>7.1</v>
      </c>
      <c r="H197" s="63">
        <v>8</v>
      </c>
      <c r="I197" s="63">
        <v>8.6999999999999993</v>
      </c>
      <c r="J197" s="63">
        <v>11.1</v>
      </c>
      <c r="K197" s="63">
        <v>13.8</v>
      </c>
      <c r="L197" s="63">
        <v>17.2</v>
      </c>
      <c r="M197" s="63">
        <v>19.7</v>
      </c>
      <c r="N197" s="63">
        <v>20.6</v>
      </c>
      <c r="O197" s="63" t="s">
        <v>316</v>
      </c>
      <c r="P197" s="63">
        <f>N197-E197</f>
        <v>14.900000000000002</v>
      </c>
      <c r="Q197" s="66">
        <f>(N197-E197)/E197</f>
        <v>2.6140350877192984</v>
      </c>
    </row>
    <row r="198" spans="1:17" ht="16" x14ac:dyDescent="0.2">
      <c r="A198" s="64">
        <v>51</v>
      </c>
      <c r="B198" s="64" t="s">
        <v>34</v>
      </c>
      <c r="C198" s="64" t="s">
        <v>227</v>
      </c>
      <c r="D198" s="65" t="s">
        <v>208</v>
      </c>
      <c r="E198" s="64">
        <v>7.6</v>
      </c>
      <c r="F198" s="64">
        <v>7.7</v>
      </c>
      <c r="G198" s="64">
        <v>9.5</v>
      </c>
      <c r="H198" s="63">
        <v>9.4</v>
      </c>
      <c r="I198" s="63">
        <v>11.1</v>
      </c>
      <c r="J198" s="63">
        <v>13</v>
      </c>
      <c r="K198" s="63">
        <v>16.600000000000001</v>
      </c>
      <c r="L198" s="63">
        <v>17.2</v>
      </c>
      <c r="M198" s="63">
        <v>19.5</v>
      </c>
      <c r="N198" s="63">
        <v>19.3</v>
      </c>
      <c r="O198" s="63" t="s">
        <v>316</v>
      </c>
      <c r="P198" s="63">
        <f>N198-E198</f>
        <v>11.700000000000001</v>
      </c>
      <c r="Q198" s="66">
        <f>(N198-E198)/E198</f>
        <v>1.5394736842105265</v>
      </c>
    </row>
    <row r="199" spans="1:17" ht="16" x14ac:dyDescent="0.2">
      <c r="A199" s="64">
        <v>52</v>
      </c>
      <c r="B199" s="64" t="s">
        <v>34</v>
      </c>
      <c r="C199" s="64" t="s">
        <v>227</v>
      </c>
      <c r="D199" s="65" t="s">
        <v>208</v>
      </c>
      <c r="E199" s="64">
        <v>6.8</v>
      </c>
      <c r="F199" s="64">
        <v>5.9</v>
      </c>
      <c r="G199" s="64">
        <v>6.9</v>
      </c>
      <c r="H199" s="63">
        <v>6.9</v>
      </c>
      <c r="I199" s="63">
        <v>7.8</v>
      </c>
      <c r="J199" s="63">
        <v>9.1</v>
      </c>
      <c r="K199" s="63">
        <v>13.6</v>
      </c>
      <c r="L199" s="63">
        <v>14.6</v>
      </c>
      <c r="M199" s="63">
        <v>15.4</v>
      </c>
      <c r="N199" s="63">
        <v>16.8</v>
      </c>
      <c r="O199" s="63" t="s">
        <v>316</v>
      </c>
      <c r="P199" s="63">
        <f>N199-E199</f>
        <v>10</v>
      </c>
      <c r="Q199" s="66">
        <f>(N199-E199)/E199</f>
        <v>1.4705882352941178</v>
      </c>
    </row>
    <row r="200" spans="1:17" ht="16" x14ac:dyDescent="0.2">
      <c r="A200" s="64">
        <v>53</v>
      </c>
      <c r="B200" s="64" t="s">
        <v>34</v>
      </c>
      <c r="C200" s="64" t="s">
        <v>227</v>
      </c>
      <c r="D200" s="65" t="s">
        <v>208</v>
      </c>
      <c r="E200" s="64">
        <v>5.9</v>
      </c>
      <c r="F200" s="64">
        <v>6.6</v>
      </c>
      <c r="G200" s="64">
        <v>8.6999999999999993</v>
      </c>
      <c r="H200" s="63">
        <v>10</v>
      </c>
      <c r="I200" s="63">
        <v>12.3</v>
      </c>
      <c r="J200" s="63">
        <v>15.3</v>
      </c>
      <c r="K200" s="63">
        <v>18.399999999999999</v>
      </c>
      <c r="L200" s="63">
        <v>26.4</v>
      </c>
      <c r="M200" s="63">
        <v>26.6</v>
      </c>
      <c r="N200" s="63">
        <v>27.2</v>
      </c>
      <c r="O200" s="63" t="s">
        <v>316</v>
      </c>
      <c r="P200" s="63">
        <f>N200-E200</f>
        <v>21.299999999999997</v>
      </c>
      <c r="Q200" s="66">
        <f>(N200-E200)/E200</f>
        <v>3.610169491525423</v>
      </c>
    </row>
    <row r="201" spans="1:17" ht="16" x14ac:dyDescent="0.2">
      <c r="A201" s="64">
        <v>54</v>
      </c>
      <c r="B201" s="64" t="s">
        <v>34</v>
      </c>
      <c r="C201" s="64" t="s">
        <v>227</v>
      </c>
      <c r="D201" s="65" t="s">
        <v>208</v>
      </c>
      <c r="E201" s="64">
        <v>6.9</v>
      </c>
      <c r="F201" s="64">
        <v>7.5</v>
      </c>
      <c r="G201" s="64">
        <v>8.8000000000000007</v>
      </c>
      <c r="H201" s="63">
        <v>9.1999999999999993</v>
      </c>
      <c r="I201" s="63">
        <v>10.199999999999999</v>
      </c>
      <c r="J201" s="63">
        <v>12.1</v>
      </c>
      <c r="K201" s="63">
        <v>19.7</v>
      </c>
      <c r="L201" s="63">
        <v>21.9</v>
      </c>
      <c r="M201" s="63">
        <v>22.9</v>
      </c>
      <c r="N201" s="63">
        <v>25.6</v>
      </c>
      <c r="O201" s="63" t="s">
        <v>316</v>
      </c>
      <c r="P201" s="63">
        <f>N201-E201</f>
        <v>18.700000000000003</v>
      </c>
      <c r="Q201" s="66">
        <f>(N201-E201)/E201</f>
        <v>2.7101449275362324</v>
      </c>
    </row>
    <row r="202" spans="1:17" ht="16" x14ac:dyDescent="0.2">
      <c r="A202" s="64">
        <v>55</v>
      </c>
      <c r="B202" s="64" t="s">
        <v>35</v>
      </c>
      <c r="C202" s="64" t="s">
        <v>227</v>
      </c>
      <c r="D202" s="65" t="s">
        <v>208</v>
      </c>
      <c r="E202" s="64">
        <v>6.3</v>
      </c>
      <c r="F202" s="64">
        <v>7.1</v>
      </c>
      <c r="G202" s="64">
        <v>7.4</v>
      </c>
      <c r="H202" s="63">
        <v>8</v>
      </c>
      <c r="I202" s="63">
        <v>9.6</v>
      </c>
      <c r="J202" s="63">
        <v>10.3</v>
      </c>
      <c r="K202" s="63">
        <v>12.8</v>
      </c>
      <c r="L202" s="63">
        <v>14.2</v>
      </c>
      <c r="M202" s="63">
        <v>16.100000000000001</v>
      </c>
      <c r="N202" s="63">
        <v>16.3</v>
      </c>
      <c r="O202" s="63" t="s">
        <v>316</v>
      </c>
      <c r="P202" s="63">
        <f>N202-E202</f>
        <v>10</v>
      </c>
      <c r="Q202" s="66">
        <f>(N202-E202)/E202</f>
        <v>1.5873015873015874</v>
      </c>
    </row>
    <row r="203" spans="1:17" ht="16" x14ac:dyDescent="0.2">
      <c r="A203" s="64">
        <v>56</v>
      </c>
      <c r="B203" s="64" t="s">
        <v>35</v>
      </c>
      <c r="C203" s="64" t="s">
        <v>227</v>
      </c>
      <c r="D203" s="65" t="s">
        <v>208</v>
      </c>
      <c r="E203" s="64">
        <v>7.3</v>
      </c>
      <c r="F203" s="64">
        <v>8.1999999999999993</v>
      </c>
      <c r="G203" s="64">
        <v>5.8</v>
      </c>
      <c r="H203" s="63">
        <v>6.6</v>
      </c>
      <c r="I203" s="63">
        <v>7.5</v>
      </c>
      <c r="J203" s="63">
        <v>8.3000000000000007</v>
      </c>
      <c r="K203" s="63">
        <v>16.899999999999999</v>
      </c>
      <c r="L203" s="63">
        <v>20.2</v>
      </c>
      <c r="M203" s="63">
        <v>20.8</v>
      </c>
      <c r="N203" s="63">
        <v>16.600000000000001</v>
      </c>
      <c r="O203" s="63" t="s">
        <v>316</v>
      </c>
      <c r="P203" s="63">
        <f>N203-E203</f>
        <v>9.3000000000000007</v>
      </c>
      <c r="Q203" s="66">
        <f>(N203-E203)/E203</f>
        <v>1.2739726027397262</v>
      </c>
    </row>
    <row r="204" spans="1:17" ht="16" x14ac:dyDescent="0.2">
      <c r="A204" s="64">
        <v>57</v>
      </c>
      <c r="B204" s="64" t="s">
        <v>35</v>
      </c>
      <c r="C204" s="64" t="s">
        <v>227</v>
      </c>
      <c r="D204" s="65" t="s">
        <v>208</v>
      </c>
      <c r="E204" s="64">
        <v>5</v>
      </c>
      <c r="F204" s="64">
        <v>5.5</v>
      </c>
      <c r="G204" s="64">
        <v>6.1</v>
      </c>
      <c r="H204" s="63">
        <v>7.4</v>
      </c>
      <c r="I204" s="63">
        <v>8.6</v>
      </c>
      <c r="J204" s="63">
        <v>9.9</v>
      </c>
      <c r="K204" s="63">
        <v>12.4</v>
      </c>
      <c r="L204" s="63">
        <v>13.5</v>
      </c>
      <c r="M204" s="63">
        <v>16</v>
      </c>
      <c r="N204" s="63">
        <v>17.100000000000001</v>
      </c>
      <c r="O204" s="63" t="s">
        <v>316</v>
      </c>
      <c r="P204" s="63">
        <f>N204-E204</f>
        <v>12.100000000000001</v>
      </c>
      <c r="Q204" s="66">
        <f>(N204-E204)/E204</f>
        <v>2.4200000000000004</v>
      </c>
    </row>
    <row r="205" spans="1:17" ht="16" x14ac:dyDescent="0.2">
      <c r="A205" s="64">
        <v>58</v>
      </c>
      <c r="B205" s="64" t="s">
        <v>35</v>
      </c>
      <c r="C205" s="64" t="s">
        <v>227</v>
      </c>
      <c r="D205" s="65" t="s">
        <v>208</v>
      </c>
      <c r="E205" s="64">
        <v>4.8</v>
      </c>
      <c r="F205" s="64">
        <v>5.4</v>
      </c>
      <c r="G205" s="64">
        <v>5.6</v>
      </c>
      <c r="H205" s="63">
        <v>7</v>
      </c>
      <c r="I205" s="63">
        <v>7.6</v>
      </c>
      <c r="J205" s="63">
        <v>10.1</v>
      </c>
      <c r="K205" s="63">
        <v>13.8</v>
      </c>
      <c r="L205" s="63">
        <v>16.600000000000001</v>
      </c>
      <c r="M205" s="63">
        <v>17.600000000000001</v>
      </c>
      <c r="N205" s="63">
        <v>18.600000000000001</v>
      </c>
      <c r="O205" s="63" t="s">
        <v>316</v>
      </c>
      <c r="P205" s="63">
        <f>N205-E205</f>
        <v>13.8</v>
      </c>
      <c r="Q205" s="66">
        <f>(N205-E205)/E205</f>
        <v>2.8750000000000004</v>
      </c>
    </row>
    <row r="206" spans="1:17" ht="16" x14ac:dyDescent="0.2">
      <c r="A206" s="64">
        <v>59</v>
      </c>
      <c r="B206" s="64" t="s">
        <v>35</v>
      </c>
      <c r="C206" s="64" t="s">
        <v>227</v>
      </c>
      <c r="D206" s="65" t="s">
        <v>208</v>
      </c>
      <c r="E206" s="64">
        <v>6.2</v>
      </c>
      <c r="F206" s="64">
        <v>7.4</v>
      </c>
      <c r="G206" s="64">
        <v>8</v>
      </c>
      <c r="H206" s="63">
        <v>8.1999999999999993</v>
      </c>
      <c r="I206" s="63">
        <v>9.4</v>
      </c>
      <c r="J206" s="63">
        <v>10.3</v>
      </c>
      <c r="K206" s="63">
        <v>14.7</v>
      </c>
      <c r="L206" s="63">
        <v>17</v>
      </c>
      <c r="M206" s="63">
        <v>16.899999999999999</v>
      </c>
      <c r="N206" s="63">
        <v>18.2</v>
      </c>
      <c r="O206" s="63" t="s">
        <v>316</v>
      </c>
      <c r="P206" s="63">
        <f>N206-E206</f>
        <v>12</v>
      </c>
      <c r="Q206" s="66">
        <f>(N206-E206)/E206</f>
        <v>1.9354838709677418</v>
      </c>
    </row>
    <row r="207" spans="1:17" ht="16" x14ac:dyDescent="0.2">
      <c r="A207" s="64">
        <v>60</v>
      </c>
      <c r="B207" s="64" t="s">
        <v>35</v>
      </c>
      <c r="C207" s="64" t="s">
        <v>227</v>
      </c>
      <c r="D207" s="65" t="s">
        <v>208</v>
      </c>
      <c r="E207" s="64">
        <v>5.2</v>
      </c>
      <c r="F207" s="64">
        <v>5.3</v>
      </c>
      <c r="G207" s="64">
        <v>6.1</v>
      </c>
      <c r="H207" s="63">
        <v>6.3</v>
      </c>
      <c r="I207" s="63">
        <v>7</v>
      </c>
      <c r="J207" s="63">
        <v>8</v>
      </c>
      <c r="K207" s="63">
        <v>10</v>
      </c>
      <c r="L207" s="63">
        <v>13.8</v>
      </c>
      <c r="M207" s="63">
        <v>13</v>
      </c>
      <c r="N207" s="63">
        <v>14.5</v>
      </c>
      <c r="O207" s="63" t="s">
        <v>316</v>
      </c>
      <c r="P207" s="63">
        <f>N207-E207</f>
        <v>9.3000000000000007</v>
      </c>
      <c r="Q207" s="66">
        <f>(N207-E207)/E207</f>
        <v>1.7884615384615385</v>
      </c>
    </row>
    <row r="208" spans="1:17" ht="16" x14ac:dyDescent="0.2">
      <c r="A208" s="64">
        <v>61</v>
      </c>
      <c r="B208" s="64" t="s">
        <v>35</v>
      </c>
      <c r="C208" s="64" t="s">
        <v>227</v>
      </c>
      <c r="D208" s="65" t="s">
        <v>208</v>
      </c>
      <c r="E208" s="64">
        <v>6</v>
      </c>
      <c r="F208" s="64">
        <v>5.8</v>
      </c>
      <c r="G208" s="64">
        <v>5.6</v>
      </c>
      <c r="H208" s="63">
        <v>6.5</v>
      </c>
      <c r="I208" s="63">
        <v>7.9</v>
      </c>
      <c r="J208" s="63">
        <v>8.3000000000000007</v>
      </c>
      <c r="K208" s="63">
        <v>12.8</v>
      </c>
      <c r="L208" s="63">
        <v>15.7</v>
      </c>
      <c r="M208" s="63">
        <v>16.100000000000001</v>
      </c>
      <c r="N208" s="63">
        <v>17</v>
      </c>
      <c r="O208" s="63" t="s">
        <v>316</v>
      </c>
      <c r="P208" s="63">
        <f>N208-E208</f>
        <v>11</v>
      </c>
      <c r="Q208" s="66">
        <f>(N208-E208)/E208</f>
        <v>1.8333333333333333</v>
      </c>
    </row>
    <row r="209" spans="1:17" ht="16" x14ac:dyDescent="0.2">
      <c r="A209" s="64">
        <v>62</v>
      </c>
      <c r="B209" s="64" t="s">
        <v>35</v>
      </c>
      <c r="C209" s="64" t="s">
        <v>227</v>
      </c>
      <c r="D209" s="65" t="s">
        <v>208</v>
      </c>
      <c r="E209" s="64">
        <v>6</v>
      </c>
      <c r="F209" s="64">
        <v>5.4</v>
      </c>
      <c r="G209" s="64">
        <v>5.6</v>
      </c>
      <c r="H209" s="63">
        <v>6.5</v>
      </c>
      <c r="I209" s="63">
        <v>8</v>
      </c>
      <c r="J209" s="63">
        <v>9.5</v>
      </c>
      <c r="K209" s="63">
        <v>12.5</v>
      </c>
      <c r="L209" s="63">
        <v>14.9</v>
      </c>
      <c r="M209" s="63">
        <v>16</v>
      </c>
      <c r="N209" s="63">
        <v>16.3</v>
      </c>
      <c r="O209" s="63" t="s">
        <v>316</v>
      </c>
      <c r="P209" s="63">
        <f>N209-E209</f>
        <v>10.3</v>
      </c>
      <c r="Q209" s="66">
        <f>(N209-E209)/E209</f>
        <v>1.7166666666666668</v>
      </c>
    </row>
    <row r="210" spans="1:17" ht="16" x14ac:dyDescent="0.2">
      <c r="A210" s="64">
        <v>63</v>
      </c>
      <c r="B210" s="64" t="s">
        <v>35</v>
      </c>
      <c r="C210" s="64" t="s">
        <v>227</v>
      </c>
      <c r="D210" s="65" t="s">
        <v>208</v>
      </c>
      <c r="E210" s="64">
        <v>5.9</v>
      </c>
      <c r="F210" s="64">
        <v>6.4</v>
      </c>
      <c r="G210" s="64">
        <v>5.4</v>
      </c>
      <c r="H210" s="63">
        <v>7.4</v>
      </c>
      <c r="I210" s="63">
        <v>7.8</v>
      </c>
      <c r="J210" s="63">
        <v>9.8000000000000007</v>
      </c>
      <c r="K210" s="63">
        <v>13.6</v>
      </c>
      <c r="L210" s="63">
        <v>15.2</v>
      </c>
      <c r="M210" s="63">
        <v>17</v>
      </c>
      <c r="N210" s="63">
        <v>16.7</v>
      </c>
      <c r="O210" s="63" t="s">
        <v>316</v>
      </c>
      <c r="P210" s="63">
        <f>N210-E210</f>
        <v>10.799999999999999</v>
      </c>
      <c r="Q210" s="66">
        <f>(N210-E210)/E210</f>
        <v>1.830508474576271</v>
      </c>
    </row>
    <row r="211" spans="1:17" ht="16" x14ac:dyDescent="0.2">
      <c r="A211" s="64">
        <v>64</v>
      </c>
      <c r="B211" s="64" t="s">
        <v>35</v>
      </c>
      <c r="C211" s="64" t="s">
        <v>227</v>
      </c>
      <c r="D211" s="65" t="s">
        <v>208</v>
      </c>
      <c r="E211" s="64">
        <v>6.9</v>
      </c>
      <c r="F211" s="64">
        <v>7.6</v>
      </c>
      <c r="G211" s="64">
        <v>7.1</v>
      </c>
      <c r="H211" s="63">
        <v>8.9</v>
      </c>
      <c r="I211" s="63">
        <v>9.6</v>
      </c>
      <c r="J211" s="63">
        <v>10.8</v>
      </c>
      <c r="K211" s="63">
        <v>13.1</v>
      </c>
      <c r="L211" s="63">
        <v>15.5</v>
      </c>
      <c r="M211" s="63">
        <v>15.8</v>
      </c>
      <c r="N211" s="63">
        <v>15.9</v>
      </c>
      <c r="O211" s="63" t="s">
        <v>316</v>
      </c>
      <c r="P211" s="63">
        <f>N211-E211</f>
        <v>9</v>
      </c>
      <c r="Q211" s="66">
        <f>(N211-E211)/E211</f>
        <v>1.3043478260869565</v>
      </c>
    </row>
    <row r="212" spans="1:17" ht="16" x14ac:dyDescent="0.2">
      <c r="A212" s="64">
        <v>65</v>
      </c>
      <c r="B212" s="64" t="s">
        <v>35</v>
      </c>
      <c r="C212" s="64" t="s">
        <v>227</v>
      </c>
      <c r="D212" s="65" t="s">
        <v>208</v>
      </c>
      <c r="E212" s="64">
        <v>8.9</v>
      </c>
      <c r="F212" s="64">
        <v>8.5</v>
      </c>
      <c r="G212" s="64">
        <v>8.1</v>
      </c>
      <c r="H212" s="63">
        <v>8.6</v>
      </c>
      <c r="I212" s="63">
        <v>9.6999999999999993</v>
      </c>
      <c r="J212" s="63">
        <v>14.2</v>
      </c>
      <c r="K212" s="63">
        <v>16.5</v>
      </c>
      <c r="L212" s="63">
        <v>21.1</v>
      </c>
      <c r="M212" s="63">
        <v>19.7</v>
      </c>
      <c r="N212" s="63">
        <v>21.6</v>
      </c>
      <c r="O212" s="63" t="s">
        <v>316</v>
      </c>
      <c r="P212" s="63">
        <f>N212-E212</f>
        <v>12.700000000000001</v>
      </c>
      <c r="Q212" s="66">
        <f>(N212-E212)/E212</f>
        <v>1.4269662921348316</v>
      </c>
    </row>
    <row r="213" spans="1:17" ht="16" x14ac:dyDescent="0.2">
      <c r="A213" s="64">
        <v>66</v>
      </c>
      <c r="B213" s="64" t="s">
        <v>35</v>
      </c>
      <c r="C213" s="64" t="s">
        <v>227</v>
      </c>
      <c r="D213" s="65" t="s">
        <v>208</v>
      </c>
      <c r="E213" s="64">
        <v>5.8</v>
      </c>
      <c r="F213" s="64">
        <v>5.6</v>
      </c>
      <c r="G213" s="64">
        <v>6</v>
      </c>
      <c r="H213" s="63">
        <v>6.7</v>
      </c>
      <c r="I213" s="63">
        <v>8.5</v>
      </c>
      <c r="J213" s="63">
        <v>9.4</v>
      </c>
      <c r="K213" s="63">
        <v>12.6</v>
      </c>
      <c r="L213" s="63">
        <v>15.8</v>
      </c>
      <c r="M213" s="63">
        <v>15.1</v>
      </c>
      <c r="N213" s="63">
        <v>16.399999999999999</v>
      </c>
      <c r="O213" s="63" t="s">
        <v>316</v>
      </c>
      <c r="P213" s="63">
        <f>N213-E213</f>
        <v>10.599999999999998</v>
      </c>
      <c r="Q213" s="66">
        <f>(N213-E213)/E213</f>
        <v>1.8275862068965514</v>
      </c>
    </row>
    <row r="214" spans="1:17" ht="16" x14ac:dyDescent="0.2">
      <c r="A214" s="64">
        <v>67</v>
      </c>
      <c r="B214" s="64" t="s">
        <v>35</v>
      </c>
      <c r="C214" s="64" t="s">
        <v>227</v>
      </c>
      <c r="D214" s="65" t="s">
        <v>208</v>
      </c>
      <c r="E214" s="64">
        <v>6.8</v>
      </c>
      <c r="F214" s="64">
        <v>6.5</v>
      </c>
      <c r="G214" s="64">
        <v>7.4</v>
      </c>
      <c r="H214" s="63">
        <v>8.5</v>
      </c>
      <c r="I214" s="63">
        <v>11.2</v>
      </c>
      <c r="J214" s="63">
        <v>11.6</v>
      </c>
      <c r="K214" s="63">
        <v>14.5</v>
      </c>
      <c r="L214" s="63">
        <v>16.5</v>
      </c>
      <c r="M214" s="63">
        <v>15.2</v>
      </c>
      <c r="N214" s="63">
        <v>17.100000000000001</v>
      </c>
      <c r="O214" s="63" t="s">
        <v>316</v>
      </c>
      <c r="P214" s="63">
        <f>N214-E214</f>
        <v>10.3</v>
      </c>
      <c r="Q214" s="66">
        <f>(N214-E214)/E214</f>
        <v>1.5147058823529413</v>
      </c>
    </row>
    <row r="215" spans="1:17" ht="16" x14ac:dyDescent="0.2">
      <c r="A215" s="64">
        <v>68</v>
      </c>
      <c r="B215" s="64" t="s">
        <v>35</v>
      </c>
      <c r="C215" s="64" t="s">
        <v>227</v>
      </c>
      <c r="D215" s="65" t="s">
        <v>208</v>
      </c>
      <c r="E215" s="64">
        <v>7.9</v>
      </c>
      <c r="F215" s="64">
        <v>8.6999999999999993</v>
      </c>
      <c r="G215" s="64">
        <v>9.4</v>
      </c>
      <c r="H215" s="63">
        <v>10.4</v>
      </c>
      <c r="I215" s="63">
        <v>11.7</v>
      </c>
      <c r="J215" s="63">
        <v>11.3</v>
      </c>
      <c r="K215" s="63">
        <v>13.3</v>
      </c>
      <c r="L215" s="63">
        <v>15.5</v>
      </c>
      <c r="M215" s="63">
        <v>16.3</v>
      </c>
      <c r="N215" s="63">
        <v>17</v>
      </c>
      <c r="O215" s="63" t="s">
        <v>316</v>
      </c>
      <c r="P215" s="63">
        <f>N215-E215</f>
        <v>9.1</v>
      </c>
      <c r="Q215" s="66">
        <f>(N215-E215)/E215</f>
        <v>1.1518987341772151</v>
      </c>
    </row>
    <row r="216" spans="1:17" ht="16" x14ac:dyDescent="0.2">
      <c r="A216" s="64">
        <v>69</v>
      </c>
      <c r="B216" s="64" t="s">
        <v>35</v>
      </c>
      <c r="C216" s="64" t="s">
        <v>227</v>
      </c>
      <c r="D216" s="65" t="s">
        <v>208</v>
      </c>
      <c r="E216" s="64">
        <v>5.9</v>
      </c>
      <c r="F216" s="64">
        <v>7</v>
      </c>
      <c r="G216" s="64">
        <v>7.4</v>
      </c>
      <c r="H216" s="63">
        <v>8</v>
      </c>
      <c r="I216" s="63">
        <v>9.6999999999999993</v>
      </c>
      <c r="J216" s="63">
        <v>10.3</v>
      </c>
      <c r="K216" s="63">
        <v>13.3</v>
      </c>
      <c r="L216" s="63">
        <v>15.9</v>
      </c>
      <c r="M216" s="63">
        <v>17.7</v>
      </c>
      <c r="N216" s="63">
        <v>17.899999999999999</v>
      </c>
      <c r="O216" s="63" t="s">
        <v>316</v>
      </c>
      <c r="P216" s="63">
        <f>N216-E216</f>
        <v>11.999999999999998</v>
      </c>
      <c r="Q216" s="66">
        <f>(N216-E216)/E216</f>
        <v>2.0338983050847452</v>
      </c>
    </row>
    <row r="217" spans="1:17" ht="16" x14ac:dyDescent="0.2">
      <c r="A217" s="64">
        <v>70</v>
      </c>
      <c r="B217" s="64" t="s">
        <v>35</v>
      </c>
      <c r="C217" s="64" t="s">
        <v>227</v>
      </c>
      <c r="D217" s="65" t="s">
        <v>208</v>
      </c>
      <c r="E217" s="64">
        <v>4.8</v>
      </c>
      <c r="F217" s="64">
        <v>6</v>
      </c>
      <c r="G217" s="64">
        <v>7</v>
      </c>
      <c r="H217" s="63">
        <v>7.7</v>
      </c>
      <c r="I217" s="63">
        <v>8.6</v>
      </c>
      <c r="J217" s="63">
        <v>8.1999999999999993</v>
      </c>
      <c r="K217" s="63">
        <v>12.3</v>
      </c>
      <c r="L217" s="63">
        <v>15.1</v>
      </c>
      <c r="M217" s="63">
        <v>15.8</v>
      </c>
      <c r="N217" s="63">
        <v>15.7</v>
      </c>
      <c r="O217" s="63" t="s">
        <v>316</v>
      </c>
      <c r="P217" s="63">
        <f>N217-E217</f>
        <v>10.899999999999999</v>
      </c>
      <c r="Q217" s="66">
        <f>(N217-E217)/E217</f>
        <v>2.270833333333333</v>
      </c>
    </row>
    <row r="218" spans="1:17" ht="16" x14ac:dyDescent="0.2">
      <c r="A218" s="64">
        <v>71</v>
      </c>
      <c r="B218" s="64" t="s">
        <v>35</v>
      </c>
      <c r="C218" s="64" t="s">
        <v>227</v>
      </c>
      <c r="D218" s="65" t="s">
        <v>208</v>
      </c>
      <c r="E218" s="64">
        <v>5.4</v>
      </c>
      <c r="F218" s="64">
        <v>6.7</v>
      </c>
      <c r="G218" s="64">
        <v>7.2</v>
      </c>
      <c r="H218" s="63">
        <v>8.3000000000000007</v>
      </c>
      <c r="I218" s="63">
        <v>8.6999999999999993</v>
      </c>
      <c r="J218" s="63">
        <v>9</v>
      </c>
      <c r="K218" s="63">
        <v>12.7</v>
      </c>
      <c r="L218" s="63">
        <v>14.8</v>
      </c>
      <c r="M218" s="63">
        <v>16.3</v>
      </c>
      <c r="N218" s="63">
        <v>16.100000000000001</v>
      </c>
      <c r="O218" s="63" t="s">
        <v>316</v>
      </c>
      <c r="P218" s="63">
        <f>N218-E218</f>
        <v>10.700000000000001</v>
      </c>
      <c r="Q218" s="66">
        <f>(N218-E218)/E218</f>
        <v>1.9814814814814816</v>
      </c>
    </row>
    <row r="219" spans="1:17" ht="16" x14ac:dyDescent="0.2">
      <c r="A219" s="64">
        <v>72</v>
      </c>
      <c r="B219" s="64" t="s">
        <v>35</v>
      </c>
      <c r="C219" s="64" t="s">
        <v>227</v>
      </c>
      <c r="D219" s="65" t="s">
        <v>208</v>
      </c>
      <c r="E219" s="64">
        <v>6.3</v>
      </c>
      <c r="F219" s="64">
        <v>6.9</v>
      </c>
      <c r="G219" s="64">
        <v>7.1</v>
      </c>
      <c r="H219" s="63">
        <v>7.3</v>
      </c>
      <c r="I219" s="63">
        <v>8.5</v>
      </c>
      <c r="J219" s="63">
        <v>8.8000000000000007</v>
      </c>
      <c r="K219" s="63">
        <v>10.9</v>
      </c>
      <c r="L219" s="63">
        <v>12.4</v>
      </c>
      <c r="M219" s="63">
        <v>12</v>
      </c>
      <c r="N219" s="63">
        <v>12.9</v>
      </c>
      <c r="O219" s="63" t="s">
        <v>316</v>
      </c>
      <c r="P219" s="63">
        <f>N219-E219</f>
        <v>6.6000000000000005</v>
      </c>
      <c r="Q219" s="66">
        <f>(N219-E219)/E219</f>
        <v>1.0476190476190477</v>
      </c>
    </row>
    <row r="220" spans="1:17" ht="16" x14ac:dyDescent="0.2">
      <c r="A220" s="64">
        <v>73</v>
      </c>
      <c r="B220" s="64" t="s">
        <v>37</v>
      </c>
      <c r="C220" s="64" t="s">
        <v>227</v>
      </c>
      <c r="D220" s="65" t="s">
        <v>209</v>
      </c>
      <c r="E220" s="64">
        <v>5.3</v>
      </c>
      <c r="F220" s="64">
        <v>4.9000000000000004</v>
      </c>
      <c r="G220" s="64">
        <v>4.5</v>
      </c>
      <c r="H220" s="63">
        <v>5.2</v>
      </c>
      <c r="I220" s="63">
        <v>5.2</v>
      </c>
      <c r="J220" s="63">
        <v>4.9000000000000004</v>
      </c>
      <c r="K220" s="63">
        <v>6.2</v>
      </c>
      <c r="L220" s="63">
        <v>6.5</v>
      </c>
      <c r="M220" s="63">
        <v>7.1</v>
      </c>
      <c r="N220" s="63">
        <v>8.4</v>
      </c>
      <c r="O220" s="63" t="s">
        <v>316</v>
      </c>
      <c r="P220" s="63">
        <f>N220-E220</f>
        <v>3.1000000000000005</v>
      </c>
      <c r="Q220" s="66">
        <f>(N220-E220)/E220</f>
        <v>0.58490566037735858</v>
      </c>
    </row>
    <row r="221" spans="1:17" ht="16" x14ac:dyDescent="0.2">
      <c r="A221" s="64">
        <v>74</v>
      </c>
      <c r="B221" s="64" t="s">
        <v>37</v>
      </c>
      <c r="C221" s="64" t="s">
        <v>227</v>
      </c>
      <c r="D221" s="65" t="s">
        <v>209</v>
      </c>
      <c r="E221" s="64">
        <v>5</v>
      </c>
      <c r="F221" s="64">
        <v>4.7</v>
      </c>
      <c r="G221" s="64">
        <v>5</v>
      </c>
      <c r="H221" s="63">
        <v>4.9000000000000004</v>
      </c>
      <c r="I221" s="63">
        <v>6.9</v>
      </c>
      <c r="J221" s="63">
        <v>7.2</v>
      </c>
      <c r="K221" s="63">
        <v>7.3</v>
      </c>
      <c r="L221" s="63">
        <v>7.3</v>
      </c>
      <c r="M221" s="63">
        <v>9</v>
      </c>
      <c r="N221" s="63">
        <v>9.1</v>
      </c>
      <c r="O221" s="63" t="s">
        <v>316</v>
      </c>
      <c r="P221" s="63">
        <f>N221-E221</f>
        <v>4.0999999999999996</v>
      </c>
      <c r="Q221" s="66">
        <f>(N221-E221)/E221</f>
        <v>0.82</v>
      </c>
    </row>
    <row r="222" spans="1:17" ht="16" x14ac:dyDescent="0.2">
      <c r="A222" s="64">
        <v>75</v>
      </c>
      <c r="B222" s="64" t="s">
        <v>37</v>
      </c>
      <c r="C222" s="64" t="s">
        <v>227</v>
      </c>
      <c r="D222" s="65" t="s">
        <v>209</v>
      </c>
      <c r="E222" s="64">
        <v>5</v>
      </c>
      <c r="F222" s="64">
        <v>4.8</v>
      </c>
      <c r="G222" s="64">
        <v>5</v>
      </c>
      <c r="H222" s="63">
        <v>4.5999999999999996</v>
      </c>
      <c r="I222" s="63">
        <v>5.3</v>
      </c>
      <c r="J222" s="63">
        <v>4.5</v>
      </c>
      <c r="K222" s="63">
        <v>6.2</v>
      </c>
      <c r="L222" s="63">
        <v>6.1</v>
      </c>
      <c r="M222" s="63">
        <v>7.7</v>
      </c>
      <c r="N222" s="63">
        <v>8.1</v>
      </c>
      <c r="O222" s="63" t="s">
        <v>316</v>
      </c>
      <c r="P222" s="63">
        <f>N222-E222</f>
        <v>3.0999999999999996</v>
      </c>
      <c r="Q222" s="66">
        <f>(N222-E222)/E222</f>
        <v>0.61999999999999988</v>
      </c>
    </row>
    <row r="223" spans="1:17" ht="16" x14ac:dyDescent="0.2">
      <c r="A223" s="64">
        <v>76</v>
      </c>
      <c r="B223" s="64" t="s">
        <v>37</v>
      </c>
      <c r="C223" s="64" t="s">
        <v>227</v>
      </c>
      <c r="D223" s="65" t="s">
        <v>209</v>
      </c>
      <c r="E223" s="64">
        <v>4</v>
      </c>
      <c r="F223" s="64">
        <v>3.5</v>
      </c>
      <c r="G223" s="64">
        <v>3.8</v>
      </c>
      <c r="H223" s="63">
        <v>4.0999999999999996</v>
      </c>
      <c r="I223" s="63">
        <v>4.8</v>
      </c>
      <c r="J223" s="63">
        <v>4.7</v>
      </c>
      <c r="K223" s="63">
        <v>5.5</v>
      </c>
      <c r="L223" s="63">
        <v>5.4</v>
      </c>
      <c r="M223" s="63">
        <v>6</v>
      </c>
      <c r="N223" s="63">
        <v>5.8</v>
      </c>
      <c r="O223" s="63" t="s">
        <v>316</v>
      </c>
      <c r="P223" s="63">
        <f>N223-E223</f>
        <v>1.7999999999999998</v>
      </c>
      <c r="Q223" s="66">
        <f>(N223-E223)/E223</f>
        <v>0.44999999999999996</v>
      </c>
    </row>
    <row r="224" spans="1:17" ht="16" x14ac:dyDescent="0.2">
      <c r="A224" s="64">
        <v>77</v>
      </c>
      <c r="B224" s="64" t="s">
        <v>37</v>
      </c>
      <c r="C224" s="64" t="s">
        <v>227</v>
      </c>
      <c r="D224" s="65" t="s">
        <v>209</v>
      </c>
      <c r="E224" s="64">
        <v>5.4</v>
      </c>
      <c r="F224" s="64">
        <v>4.7</v>
      </c>
      <c r="G224" s="64">
        <v>5.3</v>
      </c>
      <c r="H224" s="63">
        <v>5</v>
      </c>
      <c r="I224" s="63">
        <v>6.1</v>
      </c>
      <c r="J224" s="63">
        <v>5.7</v>
      </c>
      <c r="K224" s="63">
        <v>7.5</v>
      </c>
      <c r="L224" s="63">
        <v>7.6</v>
      </c>
      <c r="M224" s="63">
        <v>9</v>
      </c>
      <c r="N224" s="63">
        <v>9.8000000000000007</v>
      </c>
      <c r="O224" s="63" t="s">
        <v>316</v>
      </c>
      <c r="P224" s="63">
        <f>N224-E224</f>
        <v>4.4000000000000004</v>
      </c>
      <c r="Q224" s="66">
        <f>(N224-E224)/E224</f>
        <v>0.81481481481481488</v>
      </c>
    </row>
    <row r="225" spans="1:17" ht="16" x14ac:dyDescent="0.2">
      <c r="A225" s="64">
        <v>78</v>
      </c>
      <c r="B225" s="64" t="s">
        <v>37</v>
      </c>
      <c r="C225" s="64" t="s">
        <v>227</v>
      </c>
      <c r="D225" s="65" t="s">
        <v>209</v>
      </c>
      <c r="E225" s="64">
        <v>4.0999999999999996</v>
      </c>
      <c r="F225" s="64">
        <v>4.4000000000000004</v>
      </c>
      <c r="G225" s="64">
        <v>4.5</v>
      </c>
      <c r="H225" s="63">
        <v>4.7</v>
      </c>
      <c r="I225" s="63">
        <v>5.2</v>
      </c>
      <c r="J225" s="63">
        <v>5.6</v>
      </c>
      <c r="K225" s="63">
        <v>5.6</v>
      </c>
      <c r="L225" s="63">
        <v>6.5</v>
      </c>
      <c r="M225" s="63">
        <v>7.3</v>
      </c>
      <c r="N225" s="63">
        <v>8.3000000000000007</v>
      </c>
      <c r="O225" s="63" t="s">
        <v>316</v>
      </c>
      <c r="P225" s="63">
        <f>N225-E225</f>
        <v>4.2000000000000011</v>
      </c>
      <c r="Q225" s="66">
        <f>(N225-E225)/E225</f>
        <v>1.0243902439024393</v>
      </c>
    </row>
    <row r="226" spans="1:17" ht="16" x14ac:dyDescent="0.2">
      <c r="A226" s="64">
        <v>79</v>
      </c>
      <c r="B226" s="64" t="s">
        <v>37</v>
      </c>
      <c r="C226" s="64" t="s">
        <v>227</v>
      </c>
      <c r="D226" s="65" t="s">
        <v>209</v>
      </c>
      <c r="E226" s="64">
        <v>4.5999999999999996</v>
      </c>
      <c r="F226" s="64">
        <v>4.5999999999999996</v>
      </c>
      <c r="G226" s="64">
        <v>3.3</v>
      </c>
      <c r="H226" s="63">
        <v>4.8</v>
      </c>
      <c r="I226" s="63">
        <v>6.1</v>
      </c>
      <c r="J226" s="63">
        <v>5.3</v>
      </c>
      <c r="K226" s="63">
        <v>7.2</v>
      </c>
      <c r="L226" s="63">
        <v>8.6999999999999993</v>
      </c>
      <c r="M226" s="63">
        <v>6.6</v>
      </c>
      <c r="N226" s="63">
        <v>7.4</v>
      </c>
      <c r="O226" s="63" t="s">
        <v>316</v>
      </c>
      <c r="P226" s="63">
        <f>N226-E226</f>
        <v>2.8000000000000007</v>
      </c>
      <c r="Q226" s="66">
        <f>(N226-E226)/E226</f>
        <v>0.60869565217391319</v>
      </c>
    </row>
    <row r="227" spans="1:17" ht="16" x14ac:dyDescent="0.2">
      <c r="A227" s="64">
        <v>80</v>
      </c>
      <c r="B227" s="64" t="s">
        <v>37</v>
      </c>
      <c r="C227" s="64" t="s">
        <v>227</v>
      </c>
      <c r="D227" s="65" t="s">
        <v>209</v>
      </c>
      <c r="E227" s="64">
        <v>4.4000000000000004</v>
      </c>
      <c r="F227" s="64">
        <v>4.5999999999999996</v>
      </c>
      <c r="G227" s="64">
        <v>4.0999999999999996</v>
      </c>
      <c r="H227" s="63">
        <v>5.2</v>
      </c>
      <c r="I227" s="63">
        <v>5.2</v>
      </c>
      <c r="J227" s="63">
        <v>5.4</v>
      </c>
      <c r="K227" s="63">
        <v>6</v>
      </c>
      <c r="L227" s="63">
        <v>7.1</v>
      </c>
      <c r="M227" s="63">
        <v>7.5</v>
      </c>
      <c r="N227" s="63">
        <v>8.5</v>
      </c>
      <c r="O227" s="63" t="s">
        <v>316</v>
      </c>
      <c r="P227" s="63">
        <f>N227-E227</f>
        <v>4.0999999999999996</v>
      </c>
      <c r="Q227" s="66">
        <f>(N227-E227)/E227</f>
        <v>0.93181818181818166</v>
      </c>
    </row>
    <row r="228" spans="1:17" ht="16" x14ac:dyDescent="0.2">
      <c r="A228" s="64">
        <v>81</v>
      </c>
      <c r="B228" s="64" t="s">
        <v>37</v>
      </c>
      <c r="C228" s="64" t="s">
        <v>227</v>
      </c>
      <c r="D228" s="65" t="s">
        <v>209</v>
      </c>
      <c r="E228" s="64">
        <v>4.3</v>
      </c>
      <c r="F228" s="64">
        <v>4.3</v>
      </c>
      <c r="G228" s="64">
        <v>3.6</v>
      </c>
      <c r="H228" s="63">
        <v>4.7</v>
      </c>
      <c r="I228" s="63">
        <v>4.7</v>
      </c>
      <c r="J228" s="63">
        <v>3.8</v>
      </c>
      <c r="K228" s="63">
        <v>5.4</v>
      </c>
      <c r="L228" s="63">
        <v>4.7</v>
      </c>
      <c r="M228" s="63">
        <v>5</v>
      </c>
      <c r="N228" s="63">
        <v>4.7</v>
      </c>
      <c r="O228" s="63" t="s">
        <v>316</v>
      </c>
      <c r="P228" s="63">
        <f>N228-E228</f>
        <v>0.40000000000000036</v>
      </c>
      <c r="Q228" s="66">
        <f>(N228-E228)/E228</f>
        <v>9.302325581395357E-2</v>
      </c>
    </row>
    <row r="229" spans="1:17" ht="16" x14ac:dyDescent="0.2">
      <c r="A229" s="64">
        <v>82</v>
      </c>
      <c r="B229" s="64" t="s">
        <v>37</v>
      </c>
      <c r="C229" s="64" t="s">
        <v>227</v>
      </c>
      <c r="D229" s="65" t="s">
        <v>209</v>
      </c>
      <c r="E229" s="64">
        <v>5.8</v>
      </c>
      <c r="F229" s="64">
        <v>5.7</v>
      </c>
      <c r="G229" s="64">
        <v>5.4</v>
      </c>
      <c r="H229" s="63">
        <v>6.2</v>
      </c>
      <c r="I229" s="63">
        <v>6.3</v>
      </c>
      <c r="J229" s="63">
        <v>5.9</v>
      </c>
      <c r="K229" s="63">
        <v>8.1</v>
      </c>
      <c r="L229" s="63">
        <v>7.7</v>
      </c>
      <c r="M229" s="63">
        <v>8.3000000000000007</v>
      </c>
      <c r="N229" s="63">
        <v>9.6999999999999993</v>
      </c>
      <c r="O229" s="63" t="s">
        <v>316</v>
      </c>
      <c r="P229" s="63">
        <f>N229-E229</f>
        <v>3.8999999999999995</v>
      </c>
      <c r="Q229" s="66">
        <f>(N229-E229)/E229</f>
        <v>0.67241379310344818</v>
      </c>
    </row>
    <row r="230" spans="1:17" ht="16" x14ac:dyDescent="0.2">
      <c r="A230" s="64">
        <v>83</v>
      </c>
      <c r="B230" s="64" t="s">
        <v>37</v>
      </c>
      <c r="C230" s="64" t="s">
        <v>227</v>
      </c>
      <c r="D230" s="65" t="s">
        <v>209</v>
      </c>
      <c r="E230" s="64">
        <v>4.8</v>
      </c>
      <c r="F230" s="64">
        <v>5.3</v>
      </c>
      <c r="G230" s="64">
        <v>5</v>
      </c>
      <c r="H230" s="63">
        <v>6</v>
      </c>
      <c r="I230" s="63">
        <v>6.1</v>
      </c>
      <c r="J230" s="63">
        <v>6.8</v>
      </c>
      <c r="K230" s="63">
        <v>8.1</v>
      </c>
      <c r="L230" s="63">
        <v>10.3</v>
      </c>
      <c r="M230" s="63">
        <v>9.9</v>
      </c>
      <c r="N230" s="63">
        <v>11.3</v>
      </c>
      <c r="O230" s="63" t="s">
        <v>316</v>
      </c>
      <c r="P230" s="63">
        <f>N230-E230</f>
        <v>6.5000000000000009</v>
      </c>
      <c r="Q230" s="66">
        <f>(N230-E230)/E230</f>
        <v>1.354166666666667</v>
      </c>
    </row>
    <row r="231" spans="1:17" ht="16" x14ac:dyDescent="0.2">
      <c r="A231" s="64">
        <v>84</v>
      </c>
      <c r="B231" s="64" t="s">
        <v>37</v>
      </c>
      <c r="C231" s="64" t="s">
        <v>227</v>
      </c>
      <c r="D231" s="65" t="s">
        <v>209</v>
      </c>
      <c r="E231" s="64">
        <v>4.7</v>
      </c>
      <c r="F231" s="64">
        <v>5.3</v>
      </c>
      <c r="G231" s="64">
        <v>4</v>
      </c>
      <c r="H231" s="63">
        <v>5</v>
      </c>
      <c r="I231" s="63">
        <v>6.2</v>
      </c>
      <c r="J231" s="63">
        <v>6.2</v>
      </c>
      <c r="K231" s="63">
        <v>7.1</v>
      </c>
      <c r="L231" s="63">
        <v>7.8</v>
      </c>
      <c r="M231" s="63">
        <v>8.3000000000000007</v>
      </c>
      <c r="N231" s="63">
        <v>8.6999999999999993</v>
      </c>
      <c r="O231" s="63" t="s">
        <v>316</v>
      </c>
      <c r="P231" s="63">
        <f>N231-E231</f>
        <v>3.9999999999999991</v>
      </c>
      <c r="Q231" s="66">
        <f>(N231-E231)/E231</f>
        <v>0.85106382978723383</v>
      </c>
    </row>
    <row r="232" spans="1:17" ht="16" x14ac:dyDescent="0.2">
      <c r="A232" s="64">
        <v>85</v>
      </c>
      <c r="B232" s="64" t="s">
        <v>37</v>
      </c>
      <c r="C232" s="64" t="s">
        <v>227</v>
      </c>
      <c r="D232" s="65" t="s">
        <v>209</v>
      </c>
      <c r="E232" s="64">
        <v>5.0999999999999996</v>
      </c>
      <c r="F232" s="64">
        <v>5</v>
      </c>
      <c r="G232" s="64">
        <v>4.2</v>
      </c>
      <c r="H232" s="63">
        <v>5.4</v>
      </c>
      <c r="I232" s="63">
        <v>5.4</v>
      </c>
      <c r="J232" s="63">
        <v>6.6</v>
      </c>
      <c r="K232" s="63">
        <v>9.1</v>
      </c>
      <c r="L232" s="63">
        <v>10.3</v>
      </c>
      <c r="M232" s="63">
        <v>9.4</v>
      </c>
      <c r="N232" s="63">
        <v>9.4</v>
      </c>
      <c r="O232" s="63" t="s">
        <v>316</v>
      </c>
      <c r="P232" s="63">
        <f>N232-E232</f>
        <v>4.3000000000000007</v>
      </c>
      <c r="Q232" s="66">
        <f>(N232-E232)/E232</f>
        <v>0.84313725490196101</v>
      </c>
    </row>
    <row r="233" spans="1:17" ht="16" x14ac:dyDescent="0.2">
      <c r="A233" s="64">
        <v>86</v>
      </c>
      <c r="B233" s="64" t="s">
        <v>37</v>
      </c>
      <c r="C233" s="64" t="s">
        <v>227</v>
      </c>
      <c r="D233" s="65" t="s">
        <v>209</v>
      </c>
      <c r="E233" s="64">
        <v>5.0999999999999996</v>
      </c>
      <c r="F233" s="64">
        <v>4.5999999999999996</v>
      </c>
      <c r="G233" s="64">
        <v>4.5999999999999996</v>
      </c>
      <c r="H233" s="63">
        <v>6</v>
      </c>
      <c r="I233" s="63">
        <v>6.2</v>
      </c>
      <c r="J233" s="63">
        <v>6.8</v>
      </c>
      <c r="K233" s="63">
        <v>10.1</v>
      </c>
      <c r="L233" s="63">
        <v>10.4</v>
      </c>
      <c r="M233" s="63">
        <v>10.1</v>
      </c>
      <c r="N233" s="63">
        <v>10.7</v>
      </c>
      <c r="O233" s="63" t="s">
        <v>316</v>
      </c>
      <c r="P233" s="63">
        <f>N233-E233</f>
        <v>5.6</v>
      </c>
      <c r="Q233" s="66">
        <f>(N233-E233)/E233</f>
        <v>1.0980392156862746</v>
      </c>
    </row>
    <row r="234" spans="1:17" ht="16" x14ac:dyDescent="0.2">
      <c r="A234" s="64">
        <v>87</v>
      </c>
      <c r="B234" s="64" t="s">
        <v>37</v>
      </c>
      <c r="C234" s="64" t="s">
        <v>227</v>
      </c>
      <c r="D234" s="65" t="s">
        <v>209</v>
      </c>
      <c r="E234" s="64">
        <v>4.3</v>
      </c>
      <c r="F234" s="64">
        <v>3.6</v>
      </c>
      <c r="G234" s="64">
        <v>3.6</v>
      </c>
      <c r="H234" s="63">
        <v>5.2</v>
      </c>
      <c r="I234" s="63">
        <v>5.0999999999999996</v>
      </c>
      <c r="J234" s="63">
        <v>5.0999999999999996</v>
      </c>
      <c r="K234" s="63">
        <v>8.3000000000000007</v>
      </c>
      <c r="L234" s="63">
        <v>9.6</v>
      </c>
      <c r="M234" s="63">
        <v>8.6</v>
      </c>
      <c r="N234" s="63">
        <v>9.6999999999999993</v>
      </c>
      <c r="O234" s="63" t="s">
        <v>316</v>
      </c>
      <c r="P234" s="63">
        <f>N234-E234</f>
        <v>5.3999999999999995</v>
      </c>
      <c r="Q234" s="66">
        <f>(N234-E234)/E234</f>
        <v>1.2558139534883721</v>
      </c>
    </row>
    <row r="235" spans="1:17" ht="16" x14ac:dyDescent="0.2">
      <c r="A235" s="64">
        <v>88</v>
      </c>
      <c r="B235" s="64" t="s">
        <v>37</v>
      </c>
      <c r="C235" s="64" t="s">
        <v>227</v>
      </c>
      <c r="D235" s="65" t="s">
        <v>209</v>
      </c>
      <c r="E235" s="64">
        <v>7.6</v>
      </c>
      <c r="F235" s="64">
        <v>6.5</v>
      </c>
      <c r="G235" s="64">
        <v>6.7</v>
      </c>
      <c r="H235" s="63">
        <v>7.6</v>
      </c>
      <c r="I235" s="63">
        <v>7.9</v>
      </c>
      <c r="J235" s="63">
        <v>8.1999999999999993</v>
      </c>
      <c r="K235" s="63">
        <v>11.7</v>
      </c>
      <c r="L235" s="63">
        <v>12.4</v>
      </c>
      <c r="M235" s="63">
        <v>12.7</v>
      </c>
      <c r="N235" s="63">
        <v>13.2</v>
      </c>
      <c r="O235" s="63" t="s">
        <v>316</v>
      </c>
      <c r="P235" s="63">
        <f>N235-E235</f>
        <v>5.6</v>
      </c>
      <c r="Q235" s="66">
        <f>(N235-E235)/E235</f>
        <v>0.73684210526315785</v>
      </c>
    </row>
    <row r="236" spans="1:17" ht="16" x14ac:dyDescent="0.2">
      <c r="A236" s="64">
        <v>89</v>
      </c>
      <c r="B236" s="64" t="s">
        <v>37</v>
      </c>
      <c r="C236" s="64" t="s">
        <v>227</v>
      </c>
      <c r="D236" s="65" t="s">
        <v>209</v>
      </c>
      <c r="E236" s="64">
        <v>5.8</v>
      </c>
      <c r="F236" s="64">
        <v>5.7</v>
      </c>
      <c r="G236" s="64">
        <v>5</v>
      </c>
      <c r="H236" s="63">
        <v>6</v>
      </c>
      <c r="I236" s="63">
        <v>6.3</v>
      </c>
      <c r="J236" s="63">
        <v>7</v>
      </c>
      <c r="K236" s="63">
        <v>9.5</v>
      </c>
      <c r="L236" s="63">
        <v>11.3</v>
      </c>
      <c r="M236" s="63">
        <v>11.4</v>
      </c>
      <c r="N236" s="63">
        <v>11.7</v>
      </c>
      <c r="O236" s="63" t="s">
        <v>316</v>
      </c>
      <c r="P236" s="63">
        <f>N236-E236</f>
        <v>5.8999999999999995</v>
      </c>
      <c r="Q236" s="66">
        <f>(N236-E236)/E236</f>
        <v>1.0172413793103448</v>
      </c>
    </row>
    <row r="237" spans="1:17" ht="16" x14ac:dyDescent="0.2">
      <c r="A237" s="64">
        <v>90</v>
      </c>
      <c r="B237" s="64" t="s">
        <v>37</v>
      </c>
      <c r="C237" s="64" t="s">
        <v>227</v>
      </c>
      <c r="D237" s="65" t="s">
        <v>209</v>
      </c>
      <c r="E237" s="64">
        <v>4.0999999999999996</v>
      </c>
      <c r="F237" s="64">
        <v>4.9000000000000004</v>
      </c>
      <c r="G237" s="64">
        <v>3.3</v>
      </c>
      <c r="H237" s="63">
        <v>4.3</v>
      </c>
      <c r="I237" s="63">
        <v>5.4</v>
      </c>
      <c r="J237" s="63">
        <v>5.4</v>
      </c>
      <c r="K237" s="63">
        <v>7.6</v>
      </c>
      <c r="L237" s="63">
        <v>8.8000000000000007</v>
      </c>
      <c r="M237" s="63">
        <v>8.9</v>
      </c>
      <c r="N237" s="63">
        <v>9</v>
      </c>
      <c r="O237" s="63" t="s">
        <v>316</v>
      </c>
      <c r="P237" s="63">
        <f>N237-E237</f>
        <v>4.9000000000000004</v>
      </c>
      <c r="Q237" s="66">
        <f>(N237-E237)/E237</f>
        <v>1.1951219512195124</v>
      </c>
    </row>
    <row r="238" spans="1:17" ht="16" x14ac:dyDescent="0.2">
      <c r="A238" s="64">
        <v>163</v>
      </c>
      <c r="B238" s="64" t="s">
        <v>42</v>
      </c>
      <c r="C238" s="64" t="s">
        <v>227</v>
      </c>
      <c r="D238" s="65" t="s">
        <v>209</v>
      </c>
      <c r="E238" s="64">
        <v>4.9000000000000004</v>
      </c>
      <c r="F238" s="64">
        <v>4.8</v>
      </c>
      <c r="G238" s="64">
        <v>4.9000000000000004</v>
      </c>
      <c r="H238" s="63">
        <v>5.2</v>
      </c>
      <c r="I238" s="63">
        <v>5.3</v>
      </c>
      <c r="J238" s="63">
        <v>5.8</v>
      </c>
      <c r="K238" s="63">
        <v>5.8</v>
      </c>
      <c r="L238" s="63">
        <v>8.1999999999999993</v>
      </c>
      <c r="M238" s="63">
        <v>8.5</v>
      </c>
      <c r="N238" s="63">
        <v>9.5</v>
      </c>
      <c r="O238" s="63" t="s">
        <v>316</v>
      </c>
      <c r="P238" s="63">
        <f>N238-E238</f>
        <v>4.5999999999999996</v>
      </c>
      <c r="Q238" s="66">
        <f>(N238-E238)/E238</f>
        <v>0.93877551020408145</v>
      </c>
    </row>
    <row r="239" spans="1:17" ht="16" x14ac:dyDescent="0.2">
      <c r="A239" s="64">
        <v>164</v>
      </c>
      <c r="B239" s="64" t="s">
        <v>42</v>
      </c>
      <c r="C239" s="64" t="s">
        <v>227</v>
      </c>
      <c r="D239" s="65" t="s">
        <v>209</v>
      </c>
      <c r="E239" s="64">
        <v>5.5</v>
      </c>
      <c r="F239" s="64">
        <v>5.3</v>
      </c>
      <c r="G239" s="64">
        <v>6.5</v>
      </c>
      <c r="H239" s="63">
        <v>6.5</v>
      </c>
      <c r="I239" s="63">
        <v>7.7</v>
      </c>
      <c r="J239" s="63">
        <v>8.1999999999999993</v>
      </c>
      <c r="K239" s="63">
        <v>9.3000000000000007</v>
      </c>
      <c r="L239" s="63">
        <v>12.4</v>
      </c>
      <c r="M239" s="63">
        <v>11.7</v>
      </c>
      <c r="N239" s="63">
        <v>12.8</v>
      </c>
      <c r="O239" s="63" t="s">
        <v>316</v>
      </c>
      <c r="P239" s="63">
        <f>N239-E239</f>
        <v>7.3000000000000007</v>
      </c>
      <c r="Q239" s="66">
        <f>(N239-E239)/E239</f>
        <v>1.3272727272727274</v>
      </c>
    </row>
    <row r="240" spans="1:17" ht="16" x14ac:dyDescent="0.2">
      <c r="A240" s="64">
        <v>165</v>
      </c>
      <c r="B240" s="64" t="s">
        <v>42</v>
      </c>
      <c r="C240" s="64" t="s">
        <v>227</v>
      </c>
      <c r="D240" s="65" t="s">
        <v>209</v>
      </c>
      <c r="E240" s="64">
        <v>5</v>
      </c>
      <c r="F240" s="64">
        <v>5.2</v>
      </c>
      <c r="G240" s="64">
        <v>5.3</v>
      </c>
      <c r="H240" s="63">
        <v>6.2</v>
      </c>
      <c r="I240" s="63">
        <v>7.3</v>
      </c>
      <c r="J240" s="63">
        <v>7.9</v>
      </c>
      <c r="K240" s="63">
        <v>9.1999999999999993</v>
      </c>
      <c r="L240" s="63">
        <v>11.1</v>
      </c>
      <c r="M240" s="63">
        <v>12</v>
      </c>
      <c r="N240" s="63">
        <v>11.6</v>
      </c>
      <c r="O240" s="63" t="s">
        <v>316</v>
      </c>
      <c r="P240" s="63">
        <f>N240-E240</f>
        <v>6.6</v>
      </c>
      <c r="Q240" s="66">
        <f>(N240-E240)/E240</f>
        <v>1.3199999999999998</v>
      </c>
    </row>
    <row r="241" spans="1:17" ht="16" x14ac:dyDescent="0.2">
      <c r="A241" s="64">
        <v>166</v>
      </c>
      <c r="B241" s="64" t="s">
        <v>42</v>
      </c>
      <c r="C241" s="64" t="s">
        <v>227</v>
      </c>
      <c r="D241" s="65" t="s">
        <v>209</v>
      </c>
      <c r="E241" s="64">
        <v>4</v>
      </c>
      <c r="F241" s="64">
        <v>4.2</v>
      </c>
      <c r="G241" s="64">
        <v>4.3</v>
      </c>
      <c r="H241" s="63">
        <v>4.9000000000000004</v>
      </c>
      <c r="I241" s="63">
        <v>5.4</v>
      </c>
      <c r="J241" s="63">
        <v>6.1</v>
      </c>
      <c r="K241" s="63">
        <v>8.5</v>
      </c>
      <c r="L241" s="63">
        <v>9.4</v>
      </c>
      <c r="M241" s="63">
        <v>10.199999999999999</v>
      </c>
      <c r="N241" s="63">
        <v>11.2</v>
      </c>
      <c r="O241" s="63" t="s">
        <v>316</v>
      </c>
      <c r="P241" s="63">
        <f>N241-E241</f>
        <v>7.1999999999999993</v>
      </c>
      <c r="Q241" s="66">
        <f>(N241-E241)/E241</f>
        <v>1.7999999999999998</v>
      </c>
    </row>
    <row r="242" spans="1:17" ht="16" x14ac:dyDescent="0.2">
      <c r="A242" s="64">
        <v>167</v>
      </c>
      <c r="B242" s="64" t="s">
        <v>42</v>
      </c>
      <c r="C242" s="64" t="s">
        <v>227</v>
      </c>
      <c r="D242" s="65" t="s">
        <v>209</v>
      </c>
      <c r="E242" s="64">
        <v>4.8</v>
      </c>
      <c r="F242" s="64">
        <v>4.9000000000000004</v>
      </c>
      <c r="G242" s="64">
        <v>5.0999999999999996</v>
      </c>
      <c r="H242" s="63">
        <v>5.7</v>
      </c>
      <c r="I242" s="63">
        <v>6.6</v>
      </c>
      <c r="J242" s="63">
        <v>7.8</v>
      </c>
      <c r="K242" s="63">
        <v>10.199999999999999</v>
      </c>
      <c r="L242" s="63">
        <v>11.4</v>
      </c>
      <c r="M242" s="63">
        <v>12</v>
      </c>
      <c r="N242" s="63">
        <v>13.6</v>
      </c>
      <c r="O242" s="63" t="s">
        <v>316</v>
      </c>
      <c r="P242" s="63">
        <f>N242-E242</f>
        <v>8.8000000000000007</v>
      </c>
      <c r="Q242" s="66">
        <f>(N242-E242)/E242</f>
        <v>1.8333333333333335</v>
      </c>
    </row>
    <row r="243" spans="1:17" ht="16" x14ac:dyDescent="0.2">
      <c r="A243" s="64">
        <v>168</v>
      </c>
      <c r="B243" s="64" t="s">
        <v>42</v>
      </c>
      <c r="C243" s="64" t="s">
        <v>227</v>
      </c>
      <c r="D243" s="65" t="s">
        <v>209</v>
      </c>
      <c r="E243" s="64">
        <v>5</v>
      </c>
      <c r="F243" s="64">
        <v>4.8</v>
      </c>
      <c r="G243" s="64">
        <v>5.4</v>
      </c>
      <c r="H243" s="63">
        <v>5.3</v>
      </c>
      <c r="I243" s="63">
        <v>6.1</v>
      </c>
      <c r="J243" s="63">
        <v>7.4</v>
      </c>
      <c r="K243" s="63">
        <v>8.3000000000000007</v>
      </c>
      <c r="L243" s="63">
        <v>11.5</v>
      </c>
      <c r="M243" s="63">
        <v>11.3</v>
      </c>
      <c r="N243" s="63">
        <v>12.6</v>
      </c>
      <c r="O243" s="63" t="s">
        <v>316</v>
      </c>
      <c r="P243" s="63">
        <f>N243-E243</f>
        <v>7.6</v>
      </c>
      <c r="Q243" s="66">
        <f>(N243-E243)/E243</f>
        <v>1.52</v>
      </c>
    </row>
    <row r="244" spans="1:17" ht="16" x14ac:dyDescent="0.2">
      <c r="A244" s="64">
        <v>169</v>
      </c>
      <c r="B244" s="64" t="s">
        <v>42</v>
      </c>
      <c r="C244" s="64" t="s">
        <v>227</v>
      </c>
      <c r="D244" s="65" t="s">
        <v>209</v>
      </c>
      <c r="E244" s="64">
        <v>5</v>
      </c>
      <c r="F244" s="64">
        <v>6.3</v>
      </c>
      <c r="G244" s="64">
        <v>5.2</v>
      </c>
      <c r="H244" s="63">
        <v>6.5</v>
      </c>
      <c r="I244" s="63">
        <v>8.1</v>
      </c>
      <c r="J244" s="63">
        <v>8.4</v>
      </c>
      <c r="K244" s="63">
        <v>10</v>
      </c>
      <c r="L244" s="63">
        <v>10.8</v>
      </c>
      <c r="M244" s="63">
        <v>11.4</v>
      </c>
      <c r="N244" s="63">
        <v>12.2</v>
      </c>
      <c r="O244" s="63" t="s">
        <v>316</v>
      </c>
      <c r="P244" s="63">
        <f>N244-E244</f>
        <v>7.1999999999999993</v>
      </c>
      <c r="Q244" s="66">
        <f>(N244-E244)/E244</f>
        <v>1.44</v>
      </c>
    </row>
    <row r="245" spans="1:17" ht="16" x14ac:dyDescent="0.2">
      <c r="A245" s="64">
        <v>170</v>
      </c>
      <c r="B245" s="64" t="s">
        <v>42</v>
      </c>
      <c r="C245" s="64" t="s">
        <v>227</v>
      </c>
      <c r="D245" s="65" t="s">
        <v>209</v>
      </c>
      <c r="E245" s="64">
        <v>5.8</v>
      </c>
      <c r="F245" s="64">
        <v>6.2</v>
      </c>
      <c r="G245" s="64">
        <v>5.8</v>
      </c>
      <c r="H245" s="63">
        <v>6.9</v>
      </c>
      <c r="I245" s="63">
        <v>7.8</v>
      </c>
      <c r="J245" s="63">
        <v>8.1</v>
      </c>
      <c r="K245" s="63">
        <v>9.6999999999999993</v>
      </c>
      <c r="L245" s="63">
        <v>11.3</v>
      </c>
      <c r="M245" s="63">
        <v>11.4</v>
      </c>
      <c r="N245" s="63">
        <v>12.3</v>
      </c>
      <c r="O245" s="63" t="s">
        <v>316</v>
      </c>
      <c r="P245" s="63">
        <f>N245-E245</f>
        <v>6.5000000000000009</v>
      </c>
      <c r="Q245" s="66">
        <f>(N245-E245)/E245</f>
        <v>1.1206896551724139</v>
      </c>
    </row>
    <row r="246" spans="1:17" ht="16" x14ac:dyDescent="0.2">
      <c r="A246" s="64">
        <v>171</v>
      </c>
      <c r="B246" s="64" t="s">
        <v>42</v>
      </c>
      <c r="C246" s="64" t="s">
        <v>227</v>
      </c>
      <c r="D246" s="65" t="s">
        <v>209</v>
      </c>
      <c r="E246" s="64">
        <v>5.5</v>
      </c>
      <c r="F246" s="64">
        <v>5.2</v>
      </c>
      <c r="G246" s="64">
        <v>5.2</v>
      </c>
      <c r="H246" s="63">
        <v>6.1</v>
      </c>
      <c r="I246" s="63">
        <v>7.2</v>
      </c>
      <c r="J246" s="63">
        <v>7.6</v>
      </c>
      <c r="K246" s="63">
        <v>9.8000000000000007</v>
      </c>
      <c r="L246" s="63">
        <v>11.6</v>
      </c>
      <c r="M246" s="63">
        <v>12.2</v>
      </c>
      <c r="N246" s="63">
        <v>12.9</v>
      </c>
      <c r="O246" s="63" t="s">
        <v>316</v>
      </c>
      <c r="P246" s="63">
        <f>N246-E246</f>
        <v>7.4</v>
      </c>
      <c r="Q246" s="66">
        <f>(N246-E246)/E246</f>
        <v>1.3454545454545455</v>
      </c>
    </row>
    <row r="247" spans="1:17" ht="16" x14ac:dyDescent="0.2">
      <c r="A247" s="64">
        <v>172</v>
      </c>
      <c r="B247" s="64" t="s">
        <v>42</v>
      </c>
      <c r="C247" s="64" t="s">
        <v>227</v>
      </c>
      <c r="D247" s="65" t="s">
        <v>209</v>
      </c>
      <c r="E247" s="64">
        <v>5.9</v>
      </c>
      <c r="F247" s="64">
        <v>6.4</v>
      </c>
      <c r="G247" s="64">
        <v>6.5</v>
      </c>
      <c r="H247" s="63">
        <v>7.6</v>
      </c>
      <c r="I247" s="63">
        <v>8.4</v>
      </c>
      <c r="J247" s="63">
        <v>8.8000000000000007</v>
      </c>
      <c r="K247" s="63">
        <v>10.5</v>
      </c>
      <c r="L247" s="63">
        <v>10.4</v>
      </c>
      <c r="M247" s="63">
        <v>12</v>
      </c>
      <c r="N247" s="63">
        <v>12.8</v>
      </c>
      <c r="O247" s="63" t="s">
        <v>316</v>
      </c>
      <c r="P247" s="63">
        <f>N247-E247</f>
        <v>6.9</v>
      </c>
      <c r="Q247" s="66">
        <f>(N247-E247)/E247</f>
        <v>1.1694915254237288</v>
      </c>
    </row>
    <row r="248" spans="1:17" ht="16" x14ac:dyDescent="0.2">
      <c r="A248" s="64">
        <v>173</v>
      </c>
      <c r="B248" s="64" t="s">
        <v>42</v>
      </c>
      <c r="C248" s="64" t="s">
        <v>227</v>
      </c>
      <c r="D248" s="65" t="s">
        <v>209</v>
      </c>
      <c r="E248" s="64">
        <v>4.3</v>
      </c>
      <c r="F248" s="64">
        <v>5.6</v>
      </c>
      <c r="G248" s="64">
        <v>5.2</v>
      </c>
      <c r="H248" s="63">
        <v>6</v>
      </c>
      <c r="I248" s="63">
        <v>6.3</v>
      </c>
      <c r="J248" s="63">
        <v>6</v>
      </c>
      <c r="K248" s="63">
        <v>8.1</v>
      </c>
      <c r="L248" s="63">
        <v>9</v>
      </c>
      <c r="M248" s="63">
        <v>10.7</v>
      </c>
      <c r="N248" s="63">
        <v>9.6999999999999993</v>
      </c>
      <c r="O248" s="63" t="s">
        <v>316</v>
      </c>
      <c r="P248" s="63">
        <f>N248-E248</f>
        <v>5.3999999999999995</v>
      </c>
      <c r="Q248" s="66">
        <f>(N248-E248)/E248</f>
        <v>1.2558139534883721</v>
      </c>
    </row>
    <row r="249" spans="1:17" ht="16" x14ac:dyDescent="0.2">
      <c r="A249" s="64">
        <v>174</v>
      </c>
      <c r="B249" s="64" t="s">
        <v>42</v>
      </c>
      <c r="C249" s="64" t="s">
        <v>227</v>
      </c>
      <c r="D249" s="65" t="s">
        <v>209</v>
      </c>
      <c r="E249" s="64">
        <v>5.4</v>
      </c>
      <c r="F249" s="64">
        <v>5.3</v>
      </c>
      <c r="G249" s="64">
        <v>5.3</v>
      </c>
      <c r="H249" s="63">
        <v>5.5</v>
      </c>
      <c r="I249" s="63">
        <v>6.1</v>
      </c>
      <c r="J249" s="63">
        <v>6.1</v>
      </c>
      <c r="K249" s="63">
        <v>8.4</v>
      </c>
      <c r="L249" s="63">
        <v>8.8000000000000007</v>
      </c>
      <c r="M249" s="63">
        <v>9.6</v>
      </c>
      <c r="N249" s="63">
        <v>10.9</v>
      </c>
      <c r="O249" s="63" t="s">
        <v>316</v>
      </c>
      <c r="P249" s="63">
        <f>N249-E249</f>
        <v>5.5</v>
      </c>
      <c r="Q249" s="66">
        <f>(N249-E249)/E249</f>
        <v>1.0185185185185184</v>
      </c>
    </row>
    <row r="250" spans="1:17" ht="16" x14ac:dyDescent="0.2">
      <c r="A250" s="64">
        <v>175</v>
      </c>
      <c r="B250" s="64" t="s">
        <v>42</v>
      </c>
      <c r="C250" s="64" t="s">
        <v>227</v>
      </c>
      <c r="D250" s="65" t="s">
        <v>209</v>
      </c>
      <c r="E250" s="64">
        <v>5.9</v>
      </c>
      <c r="F250" s="64">
        <v>5.7</v>
      </c>
      <c r="G250" s="64">
        <v>5.6</v>
      </c>
      <c r="H250" s="63">
        <v>5.8</v>
      </c>
      <c r="I250" s="63">
        <v>6.2</v>
      </c>
      <c r="J250" s="63">
        <v>6</v>
      </c>
      <c r="K250" s="63">
        <v>8.9</v>
      </c>
      <c r="L250" s="63">
        <v>9.8000000000000007</v>
      </c>
      <c r="M250" s="63">
        <v>12.2</v>
      </c>
      <c r="N250" s="63">
        <v>11.1</v>
      </c>
      <c r="O250" s="63" t="s">
        <v>316</v>
      </c>
      <c r="P250" s="63">
        <f>N250-E250</f>
        <v>5.1999999999999993</v>
      </c>
      <c r="Q250" s="66">
        <f>(N250-E250)/E250</f>
        <v>0.8813559322033897</v>
      </c>
    </row>
    <row r="251" spans="1:17" ht="16" x14ac:dyDescent="0.2">
      <c r="A251" s="64">
        <v>176</v>
      </c>
      <c r="B251" s="64" t="s">
        <v>42</v>
      </c>
      <c r="C251" s="64" t="s">
        <v>227</v>
      </c>
      <c r="D251" s="65" t="s">
        <v>209</v>
      </c>
      <c r="E251" s="64">
        <v>5.5</v>
      </c>
      <c r="F251" s="64">
        <v>5.5</v>
      </c>
      <c r="G251" s="64">
        <v>5.6</v>
      </c>
      <c r="H251" s="63">
        <v>6.1</v>
      </c>
      <c r="I251" s="63">
        <v>6.1</v>
      </c>
      <c r="J251" s="63">
        <v>6.3</v>
      </c>
      <c r="K251" s="63">
        <v>8.6999999999999993</v>
      </c>
      <c r="L251" s="63">
        <v>9.1999999999999993</v>
      </c>
      <c r="M251" s="63">
        <v>11.2</v>
      </c>
      <c r="N251" s="63">
        <v>11.9</v>
      </c>
      <c r="O251" s="63" t="s">
        <v>316</v>
      </c>
      <c r="P251" s="63">
        <f>N251-E251</f>
        <v>6.4</v>
      </c>
      <c r="Q251" s="66">
        <f>(N251-E251)/E251</f>
        <v>1.1636363636363638</v>
      </c>
    </row>
    <row r="252" spans="1:17" ht="16" x14ac:dyDescent="0.2">
      <c r="A252" s="64">
        <v>177</v>
      </c>
      <c r="B252" s="64" t="s">
        <v>42</v>
      </c>
      <c r="C252" s="64" t="s">
        <v>227</v>
      </c>
      <c r="D252" s="65" t="s">
        <v>209</v>
      </c>
      <c r="E252" s="64">
        <v>5</v>
      </c>
      <c r="F252" s="64">
        <v>5</v>
      </c>
      <c r="G252" s="64">
        <v>5</v>
      </c>
      <c r="H252" s="63">
        <v>5.3</v>
      </c>
      <c r="I252" s="63">
        <v>5</v>
      </c>
      <c r="J252" s="63">
        <v>6.1</v>
      </c>
      <c r="K252" s="63">
        <v>6.6</v>
      </c>
      <c r="L252" s="63">
        <v>7.2</v>
      </c>
      <c r="M252" s="63">
        <v>8.3000000000000007</v>
      </c>
      <c r="N252" s="63">
        <v>8.4</v>
      </c>
      <c r="O252" s="63" t="s">
        <v>316</v>
      </c>
      <c r="P252" s="63">
        <f>N252-E252</f>
        <v>3.4000000000000004</v>
      </c>
      <c r="Q252" s="66">
        <f>(N252-E252)/E252</f>
        <v>0.68</v>
      </c>
    </row>
    <row r="253" spans="1:17" ht="16" x14ac:dyDescent="0.2">
      <c r="A253" s="64">
        <v>178</v>
      </c>
      <c r="B253" s="64" t="s">
        <v>42</v>
      </c>
      <c r="C253" s="64" t="s">
        <v>227</v>
      </c>
      <c r="D253" s="65" t="s">
        <v>209</v>
      </c>
      <c r="E253" s="64">
        <v>5.7</v>
      </c>
      <c r="F253" s="64">
        <v>6.2</v>
      </c>
      <c r="G253" s="64">
        <v>6.6</v>
      </c>
      <c r="H253" s="63">
        <v>7.1</v>
      </c>
      <c r="I253" s="63">
        <v>7.9</v>
      </c>
      <c r="J253" s="63">
        <v>9.6</v>
      </c>
      <c r="K253" s="63">
        <v>11.2</v>
      </c>
      <c r="L253" s="63">
        <v>11.7</v>
      </c>
      <c r="M253" s="63">
        <v>12.4</v>
      </c>
      <c r="N253" s="63">
        <v>12.1</v>
      </c>
      <c r="O253" s="63" t="s">
        <v>316</v>
      </c>
      <c r="P253" s="63">
        <f>N253-E253</f>
        <v>6.3999999999999995</v>
      </c>
      <c r="Q253" s="66">
        <f>(N253-E253)/E253</f>
        <v>1.1228070175438596</v>
      </c>
    </row>
    <row r="254" spans="1:17" ht="16" x14ac:dyDescent="0.2">
      <c r="A254" s="64">
        <v>179</v>
      </c>
      <c r="B254" s="64" t="s">
        <v>42</v>
      </c>
      <c r="C254" s="64" t="s">
        <v>227</v>
      </c>
      <c r="D254" s="65" t="s">
        <v>209</v>
      </c>
      <c r="E254" s="64">
        <v>4.7</v>
      </c>
      <c r="F254" s="64">
        <v>4.7</v>
      </c>
      <c r="G254" s="64">
        <v>4.8</v>
      </c>
      <c r="H254" s="63">
        <v>5.2</v>
      </c>
      <c r="I254" s="63">
        <v>5.8</v>
      </c>
      <c r="J254" s="63">
        <v>6.2</v>
      </c>
      <c r="K254" s="63">
        <v>8.1</v>
      </c>
      <c r="L254" s="63">
        <v>8.4</v>
      </c>
      <c r="M254" s="63">
        <v>9.5</v>
      </c>
      <c r="N254" s="63">
        <v>9.1999999999999993</v>
      </c>
      <c r="O254" s="63" t="s">
        <v>316</v>
      </c>
      <c r="P254" s="63">
        <f>N254-E254</f>
        <v>4.4999999999999991</v>
      </c>
      <c r="Q254" s="66">
        <f>(N254-E254)/E254</f>
        <v>0.95744680851063813</v>
      </c>
    </row>
    <row r="255" spans="1:17" ht="16" x14ac:dyDescent="0.2">
      <c r="A255" s="64">
        <v>180</v>
      </c>
      <c r="B255" s="64" t="s">
        <v>42</v>
      </c>
      <c r="C255" s="64" t="s">
        <v>227</v>
      </c>
      <c r="D255" s="65" t="s">
        <v>209</v>
      </c>
      <c r="E255" s="64">
        <v>5.5</v>
      </c>
      <c r="F255" s="64">
        <v>5.7</v>
      </c>
      <c r="G255" s="64">
        <v>6.4</v>
      </c>
      <c r="H255" s="63">
        <v>6.7</v>
      </c>
      <c r="I255" s="63">
        <v>7.3</v>
      </c>
      <c r="J255" s="63">
        <v>7.3</v>
      </c>
      <c r="K255" s="63">
        <v>10.1</v>
      </c>
      <c r="L255" s="63">
        <v>10.4</v>
      </c>
      <c r="M255" s="63">
        <v>11.9</v>
      </c>
      <c r="N255" s="63">
        <v>11.8</v>
      </c>
      <c r="O255" s="63" t="s">
        <v>316</v>
      </c>
      <c r="P255" s="63">
        <f>N255-E255</f>
        <v>6.3000000000000007</v>
      </c>
      <c r="Q255" s="66">
        <f>(N255-E255)/E255</f>
        <v>1.1454545454545455</v>
      </c>
    </row>
    <row r="256" spans="1:17" ht="16" x14ac:dyDescent="0.2">
      <c r="A256" s="64">
        <v>253</v>
      </c>
      <c r="B256" s="64" t="s">
        <v>46</v>
      </c>
      <c r="C256" s="64" t="s">
        <v>227</v>
      </c>
      <c r="D256" s="65" t="s">
        <v>208</v>
      </c>
      <c r="E256" s="64">
        <v>6</v>
      </c>
      <c r="F256" s="64">
        <v>6.4</v>
      </c>
      <c r="G256" s="64">
        <v>6.9</v>
      </c>
      <c r="H256" s="63">
        <v>8</v>
      </c>
      <c r="I256" s="63">
        <v>9</v>
      </c>
      <c r="J256" s="63">
        <v>9.4</v>
      </c>
      <c r="K256" s="63">
        <v>11.6</v>
      </c>
      <c r="L256" s="63">
        <v>14.9</v>
      </c>
      <c r="M256" s="63">
        <v>15.3</v>
      </c>
      <c r="N256" s="63">
        <v>13.8</v>
      </c>
      <c r="O256" s="63" t="s">
        <v>316</v>
      </c>
      <c r="P256" s="63">
        <f>N256-E256</f>
        <v>7.8000000000000007</v>
      </c>
      <c r="Q256" s="66">
        <f>(N256-E256)/E256</f>
        <v>1.3</v>
      </c>
    </row>
    <row r="257" spans="1:17" ht="16" x14ac:dyDescent="0.2">
      <c r="A257" s="64">
        <v>254</v>
      </c>
      <c r="B257" s="64" t="s">
        <v>46</v>
      </c>
      <c r="C257" s="64" t="s">
        <v>227</v>
      </c>
      <c r="D257" s="65" t="s">
        <v>208</v>
      </c>
      <c r="E257" s="64">
        <v>7.6</v>
      </c>
      <c r="F257" s="64">
        <v>8.6999999999999993</v>
      </c>
      <c r="G257" s="64">
        <v>9.3000000000000007</v>
      </c>
      <c r="H257" s="63">
        <v>11.7</v>
      </c>
      <c r="I257" s="63">
        <v>15</v>
      </c>
      <c r="J257" s="63">
        <v>15.5</v>
      </c>
      <c r="K257" s="63">
        <v>21.1</v>
      </c>
      <c r="L257" s="63">
        <v>21.5</v>
      </c>
      <c r="M257" s="63">
        <v>22.7</v>
      </c>
      <c r="N257" s="63">
        <v>17.3</v>
      </c>
      <c r="O257" s="63" t="s">
        <v>316</v>
      </c>
      <c r="P257" s="63">
        <f>N257-E257</f>
        <v>9.7000000000000011</v>
      </c>
      <c r="Q257" s="66">
        <f>(N257-E257)/E257</f>
        <v>1.2763157894736845</v>
      </c>
    </row>
    <row r="258" spans="1:17" ht="16" x14ac:dyDescent="0.2">
      <c r="A258" s="64">
        <v>255</v>
      </c>
      <c r="B258" s="64" t="s">
        <v>46</v>
      </c>
      <c r="C258" s="64" t="s">
        <v>227</v>
      </c>
      <c r="D258" s="65" t="s">
        <v>208</v>
      </c>
      <c r="E258" s="64">
        <v>5.4</v>
      </c>
      <c r="F258" s="64">
        <v>5.4</v>
      </c>
      <c r="G258" s="64">
        <v>5.8</v>
      </c>
      <c r="H258" s="63">
        <v>7.2</v>
      </c>
      <c r="I258" s="63">
        <v>8.8000000000000007</v>
      </c>
      <c r="J258" s="63">
        <v>9.3000000000000007</v>
      </c>
      <c r="K258" s="63">
        <v>12.4</v>
      </c>
      <c r="L258" s="63">
        <v>17.7</v>
      </c>
      <c r="M258" s="63">
        <v>16.5</v>
      </c>
      <c r="N258" s="63">
        <v>14.8</v>
      </c>
      <c r="O258" s="63" t="s">
        <v>316</v>
      </c>
      <c r="P258" s="63">
        <f>N258-E258</f>
        <v>9.4</v>
      </c>
      <c r="Q258" s="66">
        <f>(N258-E258)/E258</f>
        <v>1.7407407407407407</v>
      </c>
    </row>
    <row r="259" spans="1:17" ht="16" x14ac:dyDescent="0.2">
      <c r="A259" s="64">
        <v>256</v>
      </c>
      <c r="B259" s="64" t="s">
        <v>46</v>
      </c>
      <c r="C259" s="64" t="s">
        <v>227</v>
      </c>
      <c r="D259" s="65" t="s">
        <v>208</v>
      </c>
      <c r="E259" s="64">
        <v>7.2</v>
      </c>
      <c r="F259" s="64">
        <v>7.8</v>
      </c>
      <c r="G259" s="64">
        <v>8.4</v>
      </c>
      <c r="H259" s="63">
        <v>8.5</v>
      </c>
      <c r="I259" s="63">
        <v>10.6</v>
      </c>
      <c r="J259" s="63">
        <v>12.2</v>
      </c>
      <c r="K259" s="63">
        <v>17.5</v>
      </c>
      <c r="L259" s="63">
        <v>17.5</v>
      </c>
      <c r="M259" s="63">
        <v>17.2</v>
      </c>
      <c r="N259" s="63">
        <v>17.399999999999999</v>
      </c>
      <c r="O259" s="63" t="s">
        <v>316</v>
      </c>
      <c r="P259" s="63">
        <f>N259-E259</f>
        <v>10.199999999999999</v>
      </c>
      <c r="Q259" s="66">
        <f>(N259-E259)/E259</f>
        <v>1.4166666666666665</v>
      </c>
    </row>
    <row r="260" spans="1:17" ht="16" x14ac:dyDescent="0.2">
      <c r="A260" s="64">
        <v>257</v>
      </c>
      <c r="B260" s="64" t="s">
        <v>46</v>
      </c>
      <c r="C260" s="64" t="s">
        <v>227</v>
      </c>
      <c r="D260" s="65" t="s">
        <v>208</v>
      </c>
      <c r="E260" s="64">
        <v>5</v>
      </c>
      <c r="F260" s="64">
        <v>5.4</v>
      </c>
      <c r="G260" s="64">
        <v>6.3</v>
      </c>
      <c r="H260" s="63">
        <v>6.9</v>
      </c>
      <c r="I260" s="63">
        <v>8.3000000000000007</v>
      </c>
      <c r="J260" s="63">
        <v>10.4</v>
      </c>
      <c r="K260" s="63">
        <v>16.600000000000001</v>
      </c>
      <c r="L260" s="63">
        <v>19.5</v>
      </c>
      <c r="M260" s="63">
        <v>24.3</v>
      </c>
      <c r="N260" s="63">
        <v>25</v>
      </c>
      <c r="O260" s="63" t="s">
        <v>316</v>
      </c>
      <c r="P260" s="63">
        <f>N260-E260</f>
        <v>20</v>
      </c>
      <c r="Q260" s="66">
        <f>(N260-E260)/E260</f>
        <v>4</v>
      </c>
    </row>
    <row r="261" spans="1:17" ht="16" x14ac:dyDescent="0.2">
      <c r="A261" s="64">
        <v>258</v>
      </c>
      <c r="B261" s="64" t="s">
        <v>46</v>
      </c>
      <c r="C261" s="64" t="s">
        <v>227</v>
      </c>
      <c r="D261" s="65" t="s">
        <v>208</v>
      </c>
      <c r="E261" s="64">
        <v>5</v>
      </c>
      <c r="F261" s="64">
        <v>4.9000000000000004</v>
      </c>
      <c r="G261" s="64">
        <v>5.8</v>
      </c>
      <c r="H261" s="63">
        <v>6.7</v>
      </c>
      <c r="I261" s="63">
        <v>8</v>
      </c>
      <c r="J261" s="63">
        <v>8.5</v>
      </c>
      <c r="K261" s="63">
        <v>10.3</v>
      </c>
      <c r="L261" s="63">
        <v>14.6</v>
      </c>
      <c r="M261" s="63">
        <v>13.5</v>
      </c>
      <c r="N261" s="63">
        <v>12.7</v>
      </c>
      <c r="O261" s="63" t="s">
        <v>316</v>
      </c>
      <c r="P261" s="63">
        <f>N261-E261</f>
        <v>7.6999999999999993</v>
      </c>
      <c r="Q261" s="66">
        <f>(N261-E261)/E261</f>
        <v>1.5399999999999998</v>
      </c>
    </row>
    <row r="262" spans="1:17" ht="16" x14ac:dyDescent="0.2">
      <c r="A262" s="64">
        <v>259</v>
      </c>
      <c r="B262" s="64" t="s">
        <v>46</v>
      </c>
      <c r="C262" s="64" t="s">
        <v>227</v>
      </c>
      <c r="D262" s="65" t="s">
        <v>208</v>
      </c>
      <c r="E262" s="64">
        <v>6</v>
      </c>
      <c r="F262" s="64">
        <v>8.5</v>
      </c>
      <c r="G262" s="64">
        <v>8.8000000000000007</v>
      </c>
      <c r="H262" s="63">
        <v>9.6999999999999993</v>
      </c>
      <c r="I262" s="63">
        <v>10.3</v>
      </c>
      <c r="J262" s="63">
        <v>11.3</v>
      </c>
      <c r="K262" s="63">
        <v>13.2</v>
      </c>
      <c r="L262" s="63">
        <v>17.100000000000001</v>
      </c>
      <c r="M262" s="63">
        <v>18</v>
      </c>
      <c r="N262" s="63">
        <v>17.899999999999999</v>
      </c>
      <c r="O262" s="63" t="s">
        <v>316</v>
      </c>
      <c r="P262" s="63">
        <f>N262-E262</f>
        <v>11.899999999999999</v>
      </c>
      <c r="Q262" s="66">
        <f>(N262-E262)/E262</f>
        <v>1.9833333333333332</v>
      </c>
    </row>
    <row r="263" spans="1:17" ht="16" x14ac:dyDescent="0.2">
      <c r="A263" s="64">
        <v>260</v>
      </c>
      <c r="B263" s="64" t="s">
        <v>46</v>
      </c>
      <c r="C263" s="64" t="s">
        <v>227</v>
      </c>
      <c r="D263" s="65" t="s">
        <v>208</v>
      </c>
      <c r="E263" s="64">
        <v>4.3</v>
      </c>
      <c r="F263" s="64">
        <v>3.7</v>
      </c>
      <c r="G263" s="64">
        <v>4.8</v>
      </c>
      <c r="H263" s="63">
        <v>4.5999999999999996</v>
      </c>
      <c r="I263" s="63">
        <v>5</v>
      </c>
      <c r="J263" s="63">
        <v>8.4</v>
      </c>
      <c r="K263" s="63">
        <v>11.3</v>
      </c>
      <c r="L263" s="63">
        <v>6.7</v>
      </c>
      <c r="M263" s="63">
        <v>7.5</v>
      </c>
      <c r="N263" s="63">
        <v>9.6999999999999993</v>
      </c>
      <c r="O263" s="63" t="s">
        <v>316</v>
      </c>
      <c r="P263" s="63">
        <f>N263-E263</f>
        <v>5.3999999999999995</v>
      </c>
      <c r="Q263" s="66">
        <f>(N263-E263)/E263</f>
        <v>1.2558139534883721</v>
      </c>
    </row>
    <row r="264" spans="1:17" ht="16" x14ac:dyDescent="0.2">
      <c r="A264" s="64">
        <v>261</v>
      </c>
      <c r="B264" s="64" t="s">
        <v>46</v>
      </c>
      <c r="C264" s="64" t="s">
        <v>227</v>
      </c>
      <c r="D264" s="65" t="s">
        <v>208</v>
      </c>
      <c r="E264" s="64">
        <v>4.0999999999999996</v>
      </c>
      <c r="F264" s="64">
        <v>4.0999999999999996</v>
      </c>
      <c r="G264" s="64">
        <v>4.9000000000000004</v>
      </c>
      <c r="H264" s="63">
        <v>5.4</v>
      </c>
      <c r="I264" s="63">
        <v>5.4</v>
      </c>
      <c r="J264" s="63">
        <v>6.8</v>
      </c>
      <c r="K264" s="63">
        <v>7.1</v>
      </c>
      <c r="L264" s="63">
        <v>7.1</v>
      </c>
      <c r="M264" s="63">
        <v>11.3</v>
      </c>
      <c r="N264" s="63">
        <v>14.6</v>
      </c>
      <c r="O264" s="63" t="s">
        <v>316</v>
      </c>
      <c r="P264" s="63">
        <f>N264-E264</f>
        <v>10.5</v>
      </c>
      <c r="Q264" s="66">
        <f>(N264-E264)/E264</f>
        <v>2.5609756097560976</v>
      </c>
    </row>
    <row r="265" spans="1:17" ht="16" x14ac:dyDescent="0.2">
      <c r="A265" s="64">
        <v>262</v>
      </c>
      <c r="B265" s="64" t="s">
        <v>46</v>
      </c>
      <c r="C265" s="64" t="s">
        <v>227</v>
      </c>
      <c r="D265" s="65" t="s">
        <v>208</v>
      </c>
      <c r="E265" s="64">
        <v>9</v>
      </c>
      <c r="F265" s="64">
        <v>10</v>
      </c>
      <c r="G265" s="64">
        <v>10.5</v>
      </c>
      <c r="H265" s="63">
        <v>9.4</v>
      </c>
      <c r="I265" s="63">
        <v>9.9</v>
      </c>
      <c r="J265" s="63">
        <v>12.4</v>
      </c>
      <c r="K265" s="63">
        <v>11.9</v>
      </c>
      <c r="L265" s="63">
        <v>11.9</v>
      </c>
      <c r="M265" s="63">
        <v>17.8</v>
      </c>
      <c r="N265" s="63">
        <v>21.9</v>
      </c>
      <c r="O265" s="63" t="s">
        <v>316</v>
      </c>
      <c r="P265" s="63">
        <f>N265-E265</f>
        <v>12.899999999999999</v>
      </c>
      <c r="Q265" s="66">
        <f>(N265-E265)/E265</f>
        <v>1.4333333333333331</v>
      </c>
    </row>
    <row r="266" spans="1:17" ht="16" x14ac:dyDescent="0.2">
      <c r="A266" s="64">
        <v>263</v>
      </c>
      <c r="B266" s="64" t="s">
        <v>46</v>
      </c>
      <c r="C266" s="64" t="s">
        <v>227</v>
      </c>
      <c r="D266" s="65" t="s">
        <v>208</v>
      </c>
      <c r="E266" s="64">
        <v>6.2</v>
      </c>
      <c r="F266" s="64">
        <v>6.2</v>
      </c>
      <c r="G266" s="64">
        <v>7.2</v>
      </c>
      <c r="H266" s="63">
        <v>7.3</v>
      </c>
      <c r="I266" s="63">
        <v>7.7</v>
      </c>
      <c r="J266" s="63">
        <v>8.4</v>
      </c>
      <c r="K266" s="63">
        <v>10</v>
      </c>
      <c r="L266" s="63">
        <v>11.1</v>
      </c>
      <c r="M266" s="63">
        <v>12</v>
      </c>
      <c r="N266" s="63">
        <v>14</v>
      </c>
      <c r="O266" s="63" t="s">
        <v>316</v>
      </c>
      <c r="P266" s="63">
        <f>N266-E266</f>
        <v>7.8</v>
      </c>
      <c r="Q266" s="66">
        <f>(N266-E266)/E266</f>
        <v>1.2580645161290323</v>
      </c>
    </row>
    <row r="267" spans="1:17" ht="16" x14ac:dyDescent="0.2">
      <c r="A267" s="64">
        <v>264</v>
      </c>
      <c r="B267" s="64" t="s">
        <v>46</v>
      </c>
      <c r="C267" s="64" t="s">
        <v>227</v>
      </c>
      <c r="D267" s="65" t="s">
        <v>208</v>
      </c>
      <c r="E267" s="64">
        <v>8.6</v>
      </c>
      <c r="F267" s="64">
        <v>8.8000000000000007</v>
      </c>
      <c r="G267" s="64">
        <v>9.6999999999999993</v>
      </c>
      <c r="H267" s="63">
        <v>10.5</v>
      </c>
      <c r="I267" s="63">
        <v>11.3</v>
      </c>
      <c r="J267" s="63">
        <v>12.3</v>
      </c>
      <c r="K267" s="63">
        <v>12.5</v>
      </c>
      <c r="L267" s="63">
        <v>16.3</v>
      </c>
      <c r="M267" s="63">
        <v>16.3</v>
      </c>
      <c r="N267" s="63">
        <v>15.5</v>
      </c>
      <c r="O267" s="63" t="s">
        <v>316</v>
      </c>
      <c r="P267" s="63">
        <f>N267-E267</f>
        <v>6.9</v>
      </c>
      <c r="Q267" s="66">
        <f>(N267-E267)/E267</f>
        <v>0.80232558139534893</v>
      </c>
    </row>
    <row r="268" spans="1:17" ht="16" x14ac:dyDescent="0.2">
      <c r="A268" s="64">
        <v>265</v>
      </c>
      <c r="B268" s="64" t="s">
        <v>46</v>
      </c>
      <c r="C268" s="64" t="s">
        <v>227</v>
      </c>
      <c r="D268" s="65" t="s">
        <v>208</v>
      </c>
      <c r="E268" s="64">
        <v>4.7</v>
      </c>
      <c r="F268" s="64">
        <v>4.9000000000000004</v>
      </c>
      <c r="G268" s="64">
        <v>4.9000000000000004</v>
      </c>
      <c r="H268" s="63">
        <v>5.0999999999999996</v>
      </c>
      <c r="I268" s="63">
        <v>5.8</v>
      </c>
      <c r="J268" s="63">
        <v>6.7</v>
      </c>
      <c r="K268" s="63">
        <v>9.1</v>
      </c>
      <c r="L268" s="63">
        <v>10.8</v>
      </c>
      <c r="M268" s="63">
        <v>13.9</v>
      </c>
      <c r="N268" s="63">
        <v>12.4</v>
      </c>
      <c r="O268" s="63" t="s">
        <v>316</v>
      </c>
      <c r="P268" s="63">
        <f>N268-E268</f>
        <v>7.7</v>
      </c>
      <c r="Q268" s="66">
        <f>(N268-E268)/E268</f>
        <v>1.6382978723404256</v>
      </c>
    </row>
    <row r="269" spans="1:17" ht="16" x14ac:dyDescent="0.2">
      <c r="A269" s="64">
        <v>266</v>
      </c>
      <c r="B269" s="64" t="s">
        <v>46</v>
      </c>
      <c r="C269" s="64" t="s">
        <v>227</v>
      </c>
      <c r="D269" s="65" t="s">
        <v>208</v>
      </c>
      <c r="E269" s="64">
        <v>7.8</v>
      </c>
      <c r="F269" s="64">
        <v>9.4</v>
      </c>
      <c r="G269" s="64">
        <v>10.7</v>
      </c>
      <c r="H269" s="63">
        <v>12.3</v>
      </c>
      <c r="I269" s="63">
        <v>14.1</v>
      </c>
      <c r="J269" s="63">
        <v>14.3</v>
      </c>
      <c r="K269" s="63">
        <v>19.2</v>
      </c>
      <c r="L269" s="63">
        <v>21.1</v>
      </c>
      <c r="M269" s="63">
        <v>26.5</v>
      </c>
      <c r="N269" s="63">
        <v>28.3</v>
      </c>
      <c r="O269" s="63" t="s">
        <v>316</v>
      </c>
      <c r="P269" s="63">
        <f>N269-E269</f>
        <v>20.5</v>
      </c>
      <c r="Q269" s="66">
        <f>(N269-E269)/E269</f>
        <v>2.6282051282051282</v>
      </c>
    </row>
    <row r="270" spans="1:17" ht="16" x14ac:dyDescent="0.2">
      <c r="A270" s="64">
        <v>267</v>
      </c>
      <c r="B270" s="64" t="s">
        <v>46</v>
      </c>
      <c r="C270" s="64" t="s">
        <v>227</v>
      </c>
      <c r="D270" s="65" t="s">
        <v>208</v>
      </c>
      <c r="E270" s="64">
        <v>6.8</v>
      </c>
      <c r="F270" s="64">
        <v>5.8</v>
      </c>
      <c r="G270" s="64">
        <v>7.8</v>
      </c>
      <c r="H270" s="63">
        <v>9.5</v>
      </c>
      <c r="I270" s="63">
        <v>11.4</v>
      </c>
      <c r="J270" s="63">
        <v>12</v>
      </c>
      <c r="K270" s="63">
        <v>11.7</v>
      </c>
      <c r="L270" s="63">
        <v>13.3</v>
      </c>
      <c r="M270" s="63">
        <v>16.100000000000001</v>
      </c>
      <c r="N270" s="63">
        <v>17.2</v>
      </c>
      <c r="O270" s="63" t="s">
        <v>316</v>
      </c>
      <c r="P270" s="63">
        <f>N270-E270</f>
        <v>10.399999999999999</v>
      </c>
      <c r="Q270" s="66">
        <f>(N270-E270)/E270</f>
        <v>1.5294117647058822</v>
      </c>
    </row>
    <row r="271" spans="1:17" ht="16" x14ac:dyDescent="0.2">
      <c r="A271" s="64">
        <v>268</v>
      </c>
      <c r="B271" s="64" t="s">
        <v>46</v>
      </c>
      <c r="C271" s="64" t="s">
        <v>227</v>
      </c>
      <c r="D271" s="65" t="s">
        <v>208</v>
      </c>
      <c r="E271" s="64">
        <v>5.2</v>
      </c>
      <c r="F271" s="64">
        <v>5.6</v>
      </c>
      <c r="G271" s="64">
        <v>6.4</v>
      </c>
      <c r="H271" s="63">
        <v>9.3000000000000007</v>
      </c>
      <c r="I271" s="63">
        <v>10.199999999999999</v>
      </c>
      <c r="J271" s="63">
        <v>10.6</v>
      </c>
      <c r="K271" s="63">
        <v>11.4</v>
      </c>
      <c r="L271" s="63">
        <v>13.2</v>
      </c>
      <c r="M271" s="63">
        <v>12.2</v>
      </c>
      <c r="N271" s="63">
        <v>15.2</v>
      </c>
      <c r="O271" s="63" t="s">
        <v>316</v>
      </c>
      <c r="P271" s="63">
        <f>N271-E271</f>
        <v>10</v>
      </c>
      <c r="Q271" s="66">
        <f>(N271-E271)/E271</f>
        <v>1.9230769230769229</v>
      </c>
    </row>
    <row r="272" spans="1:17" ht="16" x14ac:dyDescent="0.2">
      <c r="A272" s="64">
        <v>269</v>
      </c>
      <c r="B272" s="64" t="s">
        <v>46</v>
      </c>
      <c r="C272" s="64" t="s">
        <v>227</v>
      </c>
      <c r="D272" s="65" t="s">
        <v>208</v>
      </c>
      <c r="E272" s="64">
        <v>9.5</v>
      </c>
      <c r="F272" s="64">
        <v>10.1</v>
      </c>
      <c r="G272" s="64">
        <v>11</v>
      </c>
      <c r="H272" s="63">
        <v>13.7</v>
      </c>
      <c r="I272" s="63">
        <v>13</v>
      </c>
      <c r="J272" s="63">
        <v>15.6</v>
      </c>
      <c r="K272" s="63">
        <v>19.7</v>
      </c>
      <c r="L272" s="63">
        <v>11.6</v>
      </c>
      <c r="M272" s="63">
        <v>14.8</v>
      </c>
      <c r="N272" s="63">
        <v>16</v>
      </c>
      <c r="O272" s="63" t="s">
        <v>316</v>
      </c>
      <c r="P272" s="63">
        <f>N272-E272</f>
        <v>6.5</v>
      </c>
      <c r="Q272" s="66">
        <f>(N272-E272)/E272</f>
        <v>0.68421052631578949</v>
      </c>
    </row>
    <row r="273" spans="1:17" ht="16" x14ac:dyDescent="0.2">
      <c r="A273" s="64">
        <v>270</v>
      </c>
      <c r="B273" s="64" t="s">
        <v>46</v>
      </c>
      <c r="C273" s="64" t="s">
        <v>227</v>
      </c>
      <c r="D273" s="65" t="s">
        <v>208</v>
      </c>
      <c r="E273" s="64">
        <v>7.6</v>
      </c>
      <c r="F273" s="64">
        <v>7.9</v>
      </c>
      <c r="G273" s="64">
        <v>8</v>
      </c>
      <c r="H273" s="63">
        <v>9</v>
      </c>
      <c r="I273" s="63">
        <v>10.3</v>
      </c>
      <c r="J273" s="63">
        <v>10.199999999999999</v>
      </c>
      <c r="K273" s="63">
        <v>13.7</v>
      </c>
      <c r="L273" s="63">
        <v>15.9</v>
      </c>
      <c r="M273" s="63">
        <v>20.3</v>
      </c>
      <c r="N273" s="63">
        <v>17.399999999999999</v>
      </c>
      <c r="O273" s="63" t="s">
        <v>316</v>
      </c>
      <c r="P273" s="63">
        <f>N273-E273</f>
        <v>9.7999999999999989</v>
      </c>
      <c r="Q273" s="66">
        <f>(N273-E273)/E273</f>
        <v>1.2894736842105263</v>
      </c>
    </row>
    <row r="274" spans="1:17" ht="16" x14ac:dyDescent="0.2">
      <c r="A274" s="64">
        <v>271</v>
      </c>
      <c r="B274" s="64" t="s">
        <v>47</v>
      </c>
      <c r="C274" s="64" t="s">
        <v>227</v>
      </c>
      <c r="D274" s="65" t="s">
        <v>207</v>
      </c>
      <c r="E274" s="64">
        <v>4.5</v>
      </c>
      <c r="F274" s="64">
        <v>5</v>
      </c>
      <c r="G274" s="64">
        <v>5.3</v>
      </c>
      <c r="H274" s="63">
        <v>5.3</v>
      </c>
      <c r="I274" s="63">
        <v>7.1</v>
      </c>
      <c r="J274" s="63">
        <v>7</v>
      </c>
      <c r="K274" s="63">
        <v>8.3000000000000007</v>
      </c>
      <c r="L274" s="63">
        <v>9.3000000000000007</v>
      </c>
      <c r="M274" s="63">
        <v>9.9</v>
      </c>
      <c r="N274" s="63">
        <v>11</v>
      </c>
      <c r="O274" s="63" t="s">
        <v>316</v>
      </c>
      <c r="P274" s="63">
        <f>N274-E274</f>
        <v>6.5</v>
      </c>
      <c r="Q274" s="66">
        <f>(N274-E274)/E274</f>
        <v>1.4444444444444444</v>
      </c>
    </row>
    <row r="275" spans="1:17" ht="16" x14ac:dyDescent="0.2">
      <c r="A275" s="64">
        <v>272</v>
      </c>
      <c r="B275" s="64" t="s">
        <v>47</v>
      </c>
      <c r="C275" s="64" t="s">
        <v>227</v>
      </c>
      <c r="D275" s="65" t="s">
        <v>207</v>
      </c>
      <c r="E275" s="64">
        <v>6.5</v>
      </c>
      <c r="F275" s="64">
        <v>6.9</v>
      </c>
      <c r="G275" s="64">
        <v>6.8</v>
      </c>
      <c r="H275" s="63">
        <v>8</v>
      </c>
      <c r="I275" s="63">
        <v>9</v>
      </c>
      <c r="J275" s="63">
        <v>8.6</v>
      </c>
      <c r="K275" s="63">
        <v>8.1999999999999993</v>
      </c>
      <c r="L275" s="63">
        <v>13.4</v>
      </c>
      <c r="M275" s="63">
        <v>14</v>
      </c>
      <c r="N275" s="63">
        <v>15.6</v>
      </c>
      <c r="O275" s="63" t="s">
        <v>316</v>
      </c>
      <c r="P275" s="63">
        <f>N275-E275</f>
        <v>9.1</v>
      </c>
      <c r="Q275" s="66">
        <f>(N275-E275)/E275</f>
        <v>1.4</v>
      </c>
    </row>
    <row r="276" spans="1:17" ht="16" x14ac:dyDescent="0.2">
      <c r="A276" s="64">
        <v>273</v>
      </c>
      <c r="B276" s="64" t="s">
        <v>47</v>
      </c>
      <c r="C276" s="64" t="s">
        <v>227</v>
      </c>
      <c r="D276" s="65" t="s">
        <v>207</v>
      </c>
      <c r="E276" s="64">
        <v>4</v>
      </c>
      <c r="F276" s="64">
        <v>6.3</v>
      </c>
      <c r="G276" s="64">
        <v>6.2</v>
      </c>
      <c r="H276" s="63">
        <v>6</v>
      </c>
      <c r="I276" s="63">
        <v>7.1</v>
      </c>
      <c r="J276" s="63">
        <v>7.7</v>
      </c>
      <c r="K276" s="63">
        <v>8.8000000000000007</v>
      </c>
      <c r="L276" s="63">
        <v>8.9</v>
      </c>
      <c r="M276" s="63">
        <v>13.8</v>
      </c>
      <c r="N276" s="63">
        <v>14.9</v>
      </c>
      <c r="O276" s="63" t="s">
        <v>316</v>
      </c>
      <c r="P276" s="63">
        <f>N276-E276</f>
        <v>10.9</v>
      </c>
      <c r="Q276" s="66">
        <f>(N276-E276)/E276</f>
        <v>2.7250000000000001</v>
      </c>
    </row>
    <row r="277" spans="1:17" ht="16" x14ac:dyDescent="0.2">
      <c r="A277" s="64">
        <v>274</v>
      </c>
      <c r="B277" s="64" t="s">
        <v>47</v>
      </c>
      <c r="C277" s="64" t="s">
        <v>227</v>
      </c>
      <c r="D277" s="65" t="s">
        <v>207</v>
      </c>
      <c r="E277" s="64">
        <v>4.4000000000000004</v>
      </c>
      <c r="F277" s="64">
        <v>4.4000000000000004</v>
      </c>
      <c r="G277" s="64">
        <v>5</v>
      </c>
      <c r="H277" s="63">
        <v>6.1</v>
      </c>
      <c r="I277" s="63">
        <v>6.5</v>
      </c>
      <c r="J277" s="63">
        <v>6.8</v>
      </c>
      <c r="K277" s="63">
        <v>9.8000000000000007</v>
      </c>
      <c r="L277" s="63">
        <v>9.8000000000000007</v>
      </c>
      <c r="M277" s="63">
        <v>10.9</v>
      </c>
      <c r="N277" s="63">
        <v>12.1</v>
      </c>
      <c r="O277" s="63" t="s">
        <v>316</v>
      </c>
      <c r="P277" s="63">
        <f>N277-E277</f>
        <v>7.6999999999999993</v>
      </c>
      <c r="Q277" s="66">
        <f>(N277-E277)/E277</f>
        <v>1.7499999999999998</v>
      </c>
    </row>
    <row r="278" spans="1:17" ht="16" x14ac:dyDescent="0.2">
      <c r="A278" s="64">
        <v>275</v>
      </c>
      <c r="B278" s="64" t="s">
        <v>47</v>
      </c>
      <c r="C278" s="64" t="s">
        <v>227</v>
      </c>
      <c r="D278" s="65" t="s">
        <v>207</v>
      </c>
      <c r="E278" s="64">
        <v>4.8</v>
      </c>
      <c r="F278" s="64">
        <v>4.8</v>
      </c>
      <c r="G278" s="64">
        <v>5.0999999999999996</v>
      </c>
      <c r="H278" s="63">
        <v>7</v>
      </c>
      <c r="I278" s="63">
        <v>7.8</v>
      </c>
      <c r="J278" s="63">
        <v>7.9</v>
      </c>
      <c r="K278" s="63">
        <v>10.199999999999999</v>
      </c>
      <c r="L278" s="63">
        <v>11.2</v>
      </c>
      <c r="M278" s="63">
        <v>10.8</v>
      </c>
      <c r="N278" s="63">
        <v>14</v>
      </c>
      <c r="O278" s="63" t="s">
        <v>316</v>
      </c>
      <c r="P278" s="63">
        <f>N278-E278</f>
        <v>9.1999999999999993</v>
      </c>
      <c r="Q278" s="66">
        <f>(N278-E278)/E278</f>
        <v>1.9166666666666665</v>
      </c>
    </row>
    <row r="279" spans="1:17" ht="16" x14ac:dyDescent="0.2">
      <c r="A279" s="64">
        <v>276</v>
      </c>
      <c r="B279" s="64" t="s">
        <v>47</v>
      </c>
      <c r="C279" s="64" t="s">
        <v>227</v>
      </c>
      <c r="D279" s="65" t="s">
        <v>207</v>
      </c>
      <c r="E279" s="64">
        <v>5.7</v>
      </c>
      <c r="F279" s="64">
        <v>6.6</v>
      </c>
      <c r="G279" s="64">
        <v>6.6</v>
      </c>
      <c r="H279" s="63">
        <v>7</v>
      </c>
      <c r="I279" s="63">
        <v>7.7</v>
      </c>
      <c r="J279" s="63">
        <v>7.6</v>
      </c>
      <c r="K279" s="63">
        <v>10.7</v>
      </c>
      <c r="L279" s="63">
        <v>10.1</v>
      </c>
      <c r="M279" s="63">
        <v>11.4</v>
      </c>
      <c r="N279" s="63">
        <v>11.3</v>
      </c>
      <c r="O279" s="63" t="s">
        <v>316</v>
      </c>
      <c r="P279" s="63">
        <f>N279-E279</f>
        <v>5.6000000000000005</v>
      </c>
      <c r="Q279" s="66">
        <f>(N279-E279)/E279</f>
        <v>0.98245614035087725</v>
      </c>
    </row>
    <row r="280" spans="1:17" ht="16" x14ac:dyDescent="0.2">
      <c r="A280" s="64">
        <v>277</v>
      </c>
      <c r="B280" s="64" t="s">
        <v>47</v>
      </c>
      <c r="C280" s="64" t="s">
        <v>227</v>
      </c>
      <c r="D280" s="65" t="s">
        <v>207</v>
      </c>
      <c r="E280" s="64">
        <v>7.4</v>
      </c>
      <c r="F280" s="64">
        <v>7.2</v>
      </c>
      <c r="G280" s="64">
        <v>7.3</v>
      </c>
      <c r="H280" s="63">
        <v>8.6</v>
      </c>
      <c r="I280" s="63">
        <v>9.1</v>
      </c>
      <c r="J280" s="63">
        <v>9.5</v>
      </c>
      <c r="K280" s="63">
        <v>10.4</v>
      </c>
      <c r="L280" s="63">
        <v>11.7</v>
      </c>
      <c r="M280" s="63">
        <v>11.3</v>
      </c>
      <c r="N280" s="63">
        <v>12</v>
      </c>
      <c r="O280" s="63" t="s">
        <v>316</v>
      </c>
      <c r="P280" s="63">
        <f>N280-E280</f>
        <v>4.5999999999999996</v>
      </c>
      <c r="Q280" s="66">
        <f>(N280-E280)/E280</f>
        <v>0.62162162162162149</v>
      </c>
    </row>
    <row r="281" spans="1:17" ht="16" x14ac:dyDescent="0.2">
      <c r="A281" s="64">
        <v>278</v>
      </c>
      <c r="B281" s="64" t="s">
        <v>47</v>
      </c>
      <c r="C281" s="64" t="s">
        <v>227</v>
      </c>
      <c r="D281" s="65" t="s">
        <v>207</v>
      </c>
      <c r="E281" s="64">
        <v>5.7</v>
      </c>
      <c r="F281" s="64">
        <v>5.2</v>
      </c>
      <c r="G281" s="64">
        <v>5.2</v>
      </c>
      <c r="H281" s="63">
        <v>5.9</v>
      </c>
      <c r="I281" s="63">
        <v>6.3</v>
      </c>
      <c r="J281" s="63">
        <v>6.7</v>
      </c>
      <c r="K281" s="63">
        <v>9</v>
      </c>
      <c r="L281" s="63">
        <v>0</v>
      </c>
      <c r="M281" s="63">
        <v>0</v>
      </c>
      <c r="N281" s="63">
        <v>0</v>
      </c>
      <c r="O281" s="63" t="s">
        <v>305</v>
      </c>
      <c r="P281" s="63">
        <f>N281-E281</f>
        <v>-5.7</v>
      </c>
      <c r="Q281" s="66">
        <f>(N281-E281)/E281</f>
        <v>-1</v>
      </c>
    </row>
    <row r="282" spans="1:17" ht="16" x14ac:dyDescent="0.2">
      <c r="A282" s="64">
        <v>279</v>
      </c>
      <c r="B282" s="64" t="s">
        <v>47</v>
      </c>
      <c r="C282" s="64" t="s">
        <v>227</v>
      </c>
      <c r="D282" s="65" t="s">
        <v>207</v>
      </c>
      <c r="E282" s="64">
        <v>6.5</v>
      </c>
      <c r="F282" s="64">
        <v>5.3</v>
      </c>
      <c r="G282" s="64">
        <v>5.6</v>
      </c>
      <c r="H282" s="63">
        <v>7.1</v>
      </c>
      <c r="I282" s="63">
        <v>6.5</v>
      </c>
      <c r="J282" s="63">
        <v>6.5</v>
      </c>
      <c r="K282" s="63">
        <v>6.1</v>
      </c>
      <c r="L282" s="63">
        <v>6.1</v>
      </c>
      <c r="M282" s="63">
        <v>9.6999999999999993</v>
      </c>
      <c r="N282" s="63">
        <v>9.8000000000000007</v>
      </c>
      <c r="O282" s="63" t="s">
        <v>316</v>
      </c>
      <c r="P282" s="63">
        <f>N282-E282</f>
        <v>3.3000000000000007</v>
      </c>
      <c r="Q282" s="66">
        <f>(N282-E282)/E282</f>
        <v>0.50769230769230778</v>
      </c>
    </row>
    <row r="283" spans="1:17" ht="16" x14ac:dyDescent="0.2">
      <c r="A283" s="64">
        <v>280</v>
      </c>
      <c r="B283" s="64" t="s">
        <v>47</v>
      </c>
      <c r="C283" s="64" t="s">
        <v>227</v>
      </c>
      <c r="D283" s="65" t="s">
        <v>207</v>
      </c>
      <c r="E283" s="64">
        <v>4.9000000000000004</v>
      </c>
      <c r="F283" s="64">
        <v>5</v>
      </c>
      <c r="G283" s="64">
        <v>5.5</v>
      </c>
      <c r="H283" s="63">
        <v>6.2</v>
      </c>
      <c r="I283" s="63">
        <v>6.8</v>
      </c>
      <c r="J283" s="63">
        <v>7.3</v>
      </c>
      <c r="K283" s="63">
        <v>9</v>
      </c>
      <c r="L283" s="63">
        <v>9</v>
      </c>
      <c r="M283" s="63">
        <v>9.5</v>
      </c>
      <c r="N283" s="63">
        <v>9.5</v>
      </c>
      <c r="O283" s="63" t="s">
        <v>316</v>
      </c>
      <c r="P283" s="63">
        <f>N283-E283</f>
        <v>4.5999999999999996</v>
      </c>
      <c r="Q283" s="66">
        <f>(N283-E283)/E283</f>
        <v>0.93877551020408145</v>
      </c>
    </row>
    <row r="284" spans="1:17" ht="16" x14ac:dyDescent="0.2">
      <c r="A284" s="64">
        <v>281</v>
      </c>
      <c r="B284" s="64" t="s">
        <v>47</v>
      </c>
      <c r="C284" s="64" t="s">
        <v>227</v>
      </c>
      <c r="D284" s="65" t="s">
        <v>207</v>
      </c>
      <c r="E284" s="64">
        <v>5.0999999999999996</v>
      </c>
      <c r="F284" s="64">
        <v>5.2</v>
      </c>
      <c r="G284" s="64">
        <v>5.4</v>
      </c>
      <c r="H284" s="63">
        <v>5.8</v>
      </c>
      <c r="I284" s="63">
        <v>5.8</v>
      </c>
      <c r="J284" s="63">
        <v>5.6</v>
      </c>
      <c r="K284" s="63">
        <v>5.3</v>
      </c>
      <c r="L284" s="63">
        <v>5.3</v>
      </c>
      <c r="M284" s="63">
        <v>7.4</v>
      </c>
      <c r="N284" s="63">
        <v>6.8</v>
      </c>
      <c r="O284" s="63" t="s">
        <v>316</v>
      </c>
      <c r="P284" s="63">
        <f>N284-E284</f>
        <v>1.7000000000000002</v>
      </c>
      <c r="Q284" s="66">
        <f>(N284-E284)/E284</f>
        <v>0.33333333333333337</v>
      </c>
    </row>
    <row r="285" spans="1:17" ht="16" x14ac:dyDescent="0.2">
      <c r="A285" s="64">
        <v>282</v>
      </c>
      <c r="B285" s="64" t="s">
        <v>47</v>
      </c>
      <c r="C285" s="64" t="s">
        <v>227</v>
      </c>
      <c r="D285" s="65" t="s">
        <v>207</v>
      </c>
      <c r="E285" s="64">
        <v>6.4</v>
      </c>
      <c r="F285" s="64">
        <v>6</v>
      </c>
      <c r="G285" s="64">
        <v>6.1</v>
      </c>
      <c r="H285" s="63">
        <v>7.1</v>
      </c>
      <c r="I285" s="63">
        <v>7.4</v>
      </c>
      <c r="J285" s="63">
        <v>7.6</v>
      </c>
      <c r="K285" s="63">
        <v>7.9</v>
      </c>
      <c r="L285" s="63">
        <v>12</v>
      </c>
      <c r="M285" s="63">
        <v>11.6</v>
      </c>
      <c r="N285" s="63">
        <v>12.5</v>
      </c>
      <c r="O285" s="63" t="s">
        <v>316</v>
      </c>
      <c r="P285" s="63">
        <f>N285-E285</f>
        <v>6.1</v>
      </c>
      <c r="Q285" s="66">
        <f>(N285-E285)/E285</f>
        <v>0.95312499999999989</v>
      </c>
    </row>
    <row r="286" spans="1:17" ht="16" x14ac:dyDescent="0.2">
      <c r="A286" s="64">
        <v>283</v>
      </c>
      <c r="B286" s="64" t="s">
        <v>47</v>
      </c>
      <c r="C286" s="64" t="s">
        <v>227</v>
      </c>
      <c r="D286" s="65" t="s">
        <v>207</v>
      </c>
      <c r="E286" s="64">
        <v>5.2</v>
      </c>
      <c r="F286" s="64">
        <v>6.4</v>
      </c>
      <c r="G286" s="64">
        <v>6.7</v>
      </c>
      <c r="H286" s="63">
        <v>6.8</v>
      </c>
      <c r="I286" s="63">
        <v>9</v>
      </c>
      <c r="J286" s="63">
        <v>7.6</v>
      </c>
      <c r="K286" s="63">
        <v>8</v>
      </c>
      <c r="L286" s="63">
        <v>0</v>
      </c>
      <c r="M286" s="63">
        <v>0</v>
      </c>
      <c r="N286" s="63">
        <v>0</v>
      </c>
      <c r="O286" s="63" t="s">
        <v>306</v>
      </c>
      <c r="P286" s="63">
        <f>N286-E286</f>
        <v>-5.2</v>
      </c>
      <c r="Q286" s="66">
        <f>(N286-E286)/E286</f>
        <v>-1</v>
      </c>
    </row>
    <row r="287" spans="1:17" ht="16" x14ac:dyDescent="0.2">
      <c r="A287" s="64">
        <v>284</v>
      </c>
      <c r="B287" s="64" t="s">
        <v>47</v>
      </c>
      <c r="C287" s="64" t="s">
        <v>227</v>
      </c>
      <c r="D287" s="65" t="s">
        <v>207</v>
      </c>
      <c r="E287" s="64">
        <v>5.9</v>
      </c>
      <c r="F287" s="64">
        <v>5.9</v>
      </c>
      <c r="G287" s="64">
        <v>6</v>
      </c>
      <c r="H287" s="63">
        <v>6</v>
      </c>
      <c r="I287" s="63">
        <v>6.8</v>
      </c>
      <c r="J287" s="63">
        <v>5.8</v>
      </c>
      <c r="K287" s="63">
        <v>6.3</v>
      </c>
      <c r="L287" s="63">
        <v>7.1</v>
      </c>
      <c r="M287" s="63">
        <v>6.5</v>
      </c>
      <c r="N287" s="63">
        <v>7.2</v>
      </c>
      <c r="O287" s="63" t="s">
        <v>316</v>
      </c>
      <c r="P287" s="63">
        <f>N287-E287</f>
        <v>1.2999999999999998</v>
      </c>
      <c r="Q287" s="66">
        <f>(N287-E287)/E287</f>
        <v>0.22033898305084743</v>
      </c>
    </row>
    <row r="288" spans="1:17" ht="16" x14ac:dyDescent="0.2">
      <c r="A288" s="64">
        <v>285</v>
      </c>
      <c r="B288" s="64" t="s">
        <v>47</v>
      </c>
      <c r="C288" s="64" t="s">
        <v>227</v>
      </c>
      <c r="D288" s="65" t="s">
        <v>207</v>
      </c>
      <c r="E288" s="64">
        <v>5.5</v>
      </c>
      <c r="F288" s="64">
        <v>5</v>
      </c>
      <c r="G288" s="64">
        <v>5.2</v>
      </c>
      <c r="H288" s="63">
        <v>6.1</v>
      </c>
      <c r="I288" s="63">
        <v>6.5</v>
      </c>
      <c r="J288" s="63">
        <v>8.1</v>
      </c>
      <c r="K288" s="63">
        <v>7.7</v>
      </c>
      <c r="L288" s="63">
        <v>7.8</v>
      </c>
      <c r="M288" s="63">
        <v>8.1999999999999993</v>
      </c>
      <c r="N288" s="63">
        <v>7.1</v>
      </c>
      <c r="O288" s="63" t="s">
        <v>316</v>
      </c>
      <c r="P288" s="63">
        <f>N288-E288</f>
        <v>1.5999999999999996</v>
      </c>
      <c r="Q288" s="66">
        <f>(N288-E288)/E288</f>
        <v>0.29090909090909084</v>
      </c>
    </row>
    <row r="289" spans="1:17" ht="16" x14ac:dyDescent="0.2">
      <c r="A289" s="64">
        <v>286</v>
      </c>
      <c r="B289" s="64" t="s">
        <v>47</v>
      </c>
      <c r="C289" s="64" t="s">
        <v>227</v>
      </c>
      <c r="D289" s="65" t="s">
        <v>207</v>
      </c>
      <c r="E289" s="64">
        <v>5</v>
      </c>
      <c r="F289" s="64">
        <v>5.3</v>
      </c>
      <c r="G289" s="64">
        <v>5.4</v>
      </c>
      <c r="H289" s="63">
        <v>5.7</v>
      </c>
      <c r="I289" s="63">
        <v>5.3</v>
      </c>
      <c r="J289" s="63">
        <v>5.4</v>
      </c>
      <c r="K289" s="63">
        <v>0</v>
      </c>
      <c r="L289" s="63">
        <v>0</v>
      </c>
      <c r="M289" s="63">
        <v>0</v>
      </c>
      <c r="N289" s="63">
        <v>0</v>
      </c>
      <c r="O289" s="63" t="s">
        <v>305</v>
      </c>
      <c r="P289" s="63">
        <f>N289-E289</f>
        <v>-5</v>
      </c>
      <c r="Q289" s="66">
        <f>(N289-E289)/E289</f>
        <v>-1</v>
      </c>
    </row>
    <row r="290" spans="1:17" ht="16" x14ac:dyDescent="0.2">
      <c r="A290" s="64">
        <v>287</v>
      </c>
      <c r="B290" s="64" t="s">
        <v>47</v>
      </c>
      <c r="C290" s="64" t="s">
        <v>227</v>
      </c>
      <c r="D290" s="65" t="s">
        <v>207</v>
      </c>
      <c r="E290" s="64">
        <v>3.9</v>
      </c>
      <c r="F290" s="64">
        <v>3.2</v>
      </c>
      <c r="G290" s="64">
        <v>3.4</v>
      </c>
      <c r="H290" s="63">
        <v>4.4000000000000004</v>
      </c>
      <c r="I290" s="63">
        <v>4.9000000000000004</v>
      </c>
      <c r="J290" s="63">
        <v>6.4</v>
      </c>
      <c r="K290" s="63">
        <v>5.8</v>
      </c>
      <c r="L290" s="63">
        <v>7.8</v>
      </c>
      <c r="M290" s="63">
        <v>7.6</v>
      </c>
      <c r="N290" s="63">
        <v>7.2</v>
      </c>
      <c r="O290" s="63" t="s">
        <v>316</v>
      </c>
      <c r="P290" s="63">
        <f>N290-E290</f>
        <v>3.3000000000000003</v>
      </c>
      <c r="Q290" s="66">
        <f>(N290-E290)/E290</f>
        <v>0.84615384615384626</v>
      </c>
    </row>
    <row r="291" spans="1:17" ht="16" x14ac:dyDescent="0.2">
      <c r="A291" s="64">
        <v>288</v>
      </c>
      <c r="B291" s="64" t="s">
        <v>47</v>
      </c>
      <c r="C291" s="64" t="s">
        <v>227</v>
      </c>
      <c r="D291" s="65" t="s">
        <v>207</v>
      </c>
      <c r="E291" s="64">
        <v>5.2</v>
      </c>
      <c r="F291" s="64">
        <v>4.9000000000000004</v>
      </c>
      <c r="G291" s="64">
        <v>5.3</v>
      </c>
      <c r="H291" s="63">
        <v>8.9</v>
      </c>
      <c r="I291" s="63">
        <v>6.1</v>
      </c>
      <c r="J291" s="63">
        <v>5.4</v>
      </c>
      <c r="K291" s="63">
        <v>0</v>
      </c>
      <c r="L291" s="63">
        <v>0</v>
      </c>
      <c r="M291" s="63">
        <v>0</v>
      </c>
      <c r="N291" s="63">
        <v>0</v>
      </c>
      <c r="O291" s="63" t="s">
        <v>305</v>
      </c>
      <c r="P291" s="63">
        <f>N291-E291</f>
        <v>-5.2</v>
      </c>
      <c r="Q291" s="66">
        <f>(N291-E291)/E291</f>
        <v>-1</v>
      </c>
    </row>
    <row r="292" spans="1:17" ht="16" x14ac:dyDescent="0.2">
      <c r="A292" s="64">
        <v>307</v>
      </c>
      <c r="B292" s="64" t="s">
        <v>48</v>
      </c>
      <c r="C292" s="64" t="s">
        <v>227</v>
      </c>
      <c r="D292" s="65" t="s">
        <v>207</v>
      </c>
      <c r="E292" s="64">
        <v>5.6</v>
      </c>
      <c r="F292" s="64">
        <v>6.6</v>
      </c>
      <c r="G292" s="64">
        <v>6.5</v>
      </c>
      <c r="H292" s="63">
        <v>6.9</v>
      </c>
      <c r="I292" s="63">
        <v>7.3</v>
      </c>
      <c r="J292" s="63">
        <v>7.5</v>
      </c>
      <c r="K292" s="63">
        <v>9.6999999999999993</v>
      </c>
      <c r="L292" s="63">
        <v>11.7</v>
      </c>
      <c r="M292" s="63">
        <v>10.7</v>
      </c>
      <c r="N292" s="63">
        <v>10.8</v>
      </c>
      <c r="O292" s="63" t="s">
        <v>316</v>
      </c>
      <c r="P292" s="63">
        <f>N292-E292</f>
        <v>5.2000000000000011</v>
      </c>
      <c r="Q292" s="66">
        <f>(N292-E292)/E292</f>
        <v>0.92857142857142883</v>
      </c>
    </row>
    <row r="293" spans="1:17" ht="16" x14ac:dyDescent="0.2">
      <c r="A293" s="64">
        <v>308</v>
      </c>
      <c r="B293" s="64" t="s">
        <v>48</v>
      </c>
      <c r="C293" s="64" t="s">
        <v>227</v>
      </c>
      <c r="D293" s="65" t="s">
        <v>207</v>
      </c>
      <c r="E293" s="64">
        <v>4.2</v>
      </c>
      <c r="F293" s="64">
        <v>5.0999999999999996</v>
      </c>
      <c r="G293" s="64">
        <v>5.4</v>
      </c>
      <c r="H293" s="63">
        <v>6.5</v>
      </c>
      <c r="I293" s="63">
        <v>7.4</v>
      </c>
      <c r="J293" s="63">
        <v>9.5</v>
      </c>
      <c r="K293" s="63">
        <v>10.4</v>
      </c>
      <c r="L293" s="63">
        <v>14.6</v>
      </c>
      <c r="M293" s="63">
        <v>14.9</v>
      </c>
      <c r="N293" s="63">
        <v>14.7</v>
      </c>
      <c r="O293" s="63" t="s">
        <v>316</v>
      </c>
      <c r="P293" s="63">
        <f>N293-E293</f>
        <v>10.5</v>
      </c>
      <c r="Q293" s="66">
        <f>(N293-E293)/E293</f>
        <v>2.5</v>
      </c>
    </row>
    <row r="294" spans="1:17" ht="16" x14ac:dyDescent="0.2">
      <c r="A294" s="64">
        <v>309</v>
      </c>
      <c r="B294" s="64" t="s">
        <v>48</v>
      </c>
      <c r="C294" s="64" t="s">
        <v>227</v>
      </c>
      <c r="D294" s="65" t="s">
        <v>207</v>
      </c>
      <c r="E294" s="64">
        <v>5.8</v>
      </c>
      <c r="F294" s="64">
        <v>6</v>
      </c>
      <c r="G294" s="64">
        <v>6.3</v>
      </c>
      <c r="H294" s="63">
        <v>7.1</v>
      </c>
      <c r="I294" s="63">
        <v>7.7</v>
      </c>
      <c r="J294" s="63">
        <v>7.4</v>
      </c>
      <c r="K294" s="63">
        <v>7.4</v>
      </c>
      <c r="L294" s="63">
        <v>9.5</v>
      </c>
      <c r="M294" s="63">
        <v>10.1</v>
      </c>
      <c r="N294" s="63">
        <v>14.8</v>
      </c>
      <c r="O294" s="63" t="s">
        <v>316</v>
      </c>
      <c r="P294" s="63">
        <f>N294-E294</f>
        <v>9</v>
      </c>
      <c r="Q294" s="66">
        <f>(N294-E294)/E294</f>
        <v>1.5517241379310345</v>
      </c>
    </row>
    <row r="295" spans="1:17" ht="16" x14ac:dyDescent="0.2">
      <c r="A295" s="64">
        <v>310</v>
      </c>
      <c r="B295" s="64" t="s">
        <v>48</v>
      </c>
      <c r="C295" s="64" t="s">
        <v>227</v>
      </c>
      <c r="D295" s="65" t="s">
        <v>207</v>
      </c>
      <c r="E295" s="64">
        <v>4.8</v>
      </c>
      <c r="F295" s="64">
        <v>4.5</v>
      </c>
      <c r="G295" s="64">
        <v>4.8</v>
      </c>
      <c r="H295" s="63">
        <v>5</v>
      </c>
      <c r="I295" s="63">
        <v>4.2</v>
      </c>
      <c r="J295" s="63">
        <v>4.5999999999999996</v>
      </c>
      <c r="K295" s="63">
        <v>5.9</v>
      </c>
      <c r="L295" s="63">
        <v>5.9</v>
      </c>
      <c r="M295" s="63">
        <v>5.9</v>
      </c>
      <c r="N295" s="63">
        <v>5.9</v>
      </c>
      <c r="O295" s="63" t="s">
        <v>316</v>
      </c>
      <c r="P295" s="63">
        <f>N295-E295</f>
        <v>1.1000000000000005</v>
      </c>
      <c r="Q295" s="66">
        <f>(N295-E295)/E295</f>
        <v>0.2291666666666668</v>
      </c>
    </row>
    <row r="296" spans="1:17" ht="16" x14ac:dyDescent="0.2">
      <c r="A296" s="64">
        <v>311</v>
      </c>
      <c r="B296" s="64" t="s">
        <v>48</v>
      </c>
      <c r="C296" s="64" t="s">
        <v>227</v>
      </c>
      <c r="D296" s="65" t="s">
        <v>207</v>
      </c>
      <c r="E296" s="64">
        <v>5</v>
      </c>
      <c r="F296" s="64">
        <v>5.4</v>
      </c>
      <c r="G296" s="64">
        <v>5.7</v>
      </c>
      <c r="H296" s="63">
        <v>6.2</v>
      </c>
      <c r="I296" s="63">
        <v>7.1</v>
      </c>
      <c r="J296" s="63">
        <v>7.4</v>
      </c>
      <c r="K296" s="63">
        <v>8.6999999999999993</v>
      </c>
      <c r="L296" s="63">
        <v>10</v>
      </c>
      <c r="M296" s="63">
        <v>9.4</v>
      </c>
      <c r="N296" s="63">
        <v>11.6</v>
      </c>
      <c r="O296" s="63" t="s">
        <v>316</v>
      </c>
      <c r="P296" s="63">
        <f>N296-E296</f>
        <v>6.6</v>
      </c>
      <c r="Q296" s="66">
        <f>(N296-E296)/E296</f>
        <v>1.3199999999999998</v>
      </c>
    </row>
    <row r="297" spans="1:17" ht="16" x14ac:dyDescent="0.2">
      <c r="A297" s="64">
        <v>312</v>
      </c>
      <c r="B297" s="64" t="s">
        <v>48</v>
      </c>
      <c r="C297" s="64" t="s">
        <v>227</v>
      </c>
      <c r="D297" s="65" t="s">
        <v>207</v>
      </c>
      <c r="E297" s="64">
        <v>4</v>
      </c>
      <c r="F297" s="64">
        <v>3.9</v>
      </c>
      <c r="G297" s="64">
        <v>4.3</v>
      </c>
      <c r="H297" s="63">
        <v>4</v>
      </c>
      <c r="I297" s="63">
        <v>4.0999999999999996</v>
      </c>
      <c r="J297" s="63">
        <v>4.0999999999999996</v>
      </c>
      <c r="K297" s="63">
        <v>4.2</v>
      </c>
      <c r="L297" s="63">
        <v>5.3</v>
      </c>
      <c r="M297" s="63">
        <v>4.9000000000000004</v>
      </c>
      <c r="N297" s="63">
        <v>5.0999999999999996</v>
      </c>
      <c r="O297" s="63" t="s">
        <v>316</v>
      </c>
      <c r="P297" s="63">
        <f>N297-E297</f>
        <v>1.0999999999999996</v>
      </c>
      <c r="Q297" s="66">
        <f>(N297-E297)/E297</f>
        <v>0.27499999999999991</v>
      </c>
    </row>
    <row r="298" spans="1:17" ht="16" x14ac:dyDescent="0.2">
      <c r="A298" s="64">
        <v>313</v>
      </c>
      <c r="B298" s="64" t="s">
        <v>48</v>
      </c>
      <c r="C298" s="64" t="s">
        <v>227</v>
      </c>
      <c r="D298" s="65" t="s">
        <v>207</v>
      </c>
      <c r="E298" s="64">
        <v>4.5999999999999996</v>
      </c>
      <c r="F298" s="64">
        <v>5.3</v>
      </c>
      <c r="G298" s="64">
        <v>5.6</v>
      </c>
      <c r="H298" s="63">
        <v>5.5</v>
      </c>
      <c r="I298" s="63">
        <v>5.8</v>
      </c>
      <c r="J298" s="63">
        <v>6.6</v>
      </c>
      <c r="K298" s="63">
        <v>7.3</v>
      </c>
      <c r="L298" s="63">
        <v>9.4</v>
      </c>
      <c r="M298" s="63">
        <v>0</v>
      </c>
      <c r="N298" s="63">
        <v>0</v>
      </c>
      <c r="O298" s="63" t="s">
        <v>305</v>
      </c>
      <c r="P298" s="63">
        <f>N298-E298</f>
        <v>-4.5999999999999996</v>
      </c>
      <c r="Q298" s="66">
        <f>(N298-E298)/E298</f>
        <v>-1</v>
      </c>
    </row>
    <row r="299" spans="1:17" ht="16" x14ac:dyDescent="0.2">
      <c r="A299" s="64">
        <v>314</v>
      </c>
      <c r="B299" s="64" t="s">
        <v>48</v>
      </c>
      <c r="C299" s="64" t="s">
        <v>227</v>
      </c>
      <c r="D299" s="65" t="s">
        <v>207</v>
      </c>
      <c r="E299" s="64">
        <v>4.8</v>
      </c>
      <c r="F299" s="64">
        <v>6</v>
      </c>
      <c r="G299" s="64">
        <v>6.2</v>
      </c>
      <c r="H299" s="63">
        <v>6.3</v>
      </c>
      <c r="I299" s="63">
        <v>7</v>
      </c>
      <c r="J299" s="63">
        <v>8.1</v>
      </c>
      <c r="K299" s="63">
        <v>8</v>
      </c>
      <c r="L299" s="63">
        <v>13.7</v>
      </c>
      <c r="M299" s="63">
        <v>11.3</v>
      </c>
      <c r="N299" s="63">
        <v>11.9</v>
      </c>
      <c r="O299" s="63" t="s">
        <v>316</v>
      </c>
      <c r="P299" s="63">
        <f>N299-E299</f>
        <v>7.1000000000000005</v>
      </c>
      <c r="Q299" s="66">
        <f>(N299-E299)/E299</f>
        <v>1.4791666666666667</v>
      </c>
    </row>
    <row r="300" spans="1:17" ht="16" x14ac:dyDescent="0.2">
      <c r="A300" s="64">
        <v>315</v>
      </c>
      <c r="B300" s="64" t="s">
        <v>48</v>
      </c>
      <c r="C300" s="64" t="s">
        <v>227</v>
      </c>
      <c r="D300" s="65" t="s">
        <v>207</v>
      </c>
      <c r="E300" s="64">
        <v>5.4</v>
      </c>
      <c r="F300" s="64">
        <v>5.5</v>
      </c>
      <c r="G300" s="64">
        <v>6.2</v>
      </c>
      <c r="H300" s="63">
        <v>6.3</v>
      </c>
      <c r="I300" s="63">
        <v>7.4</v>
      </c>
      <c r="J300" s="63">
        <v>7.8</v>
      </c>
      <c r="K300" s="63">
        <v>8.9</v>
      </c>
      <c r="L300" s="63">
        <v>11</v>
      </c>
      <c r="M300" s="63">
        <v>11.9</v>
      </c>
      <c r="N300" s="63">
        <v>10.3</v>
      </c>
      <c r="O300" s="63" t="s">
        <v>316</v>
      </c>
      <c r="P300" s="63">
        <f>N300-E300</f>
        <v>4.9000000000000004</v>
      </c>
      <c r="Q300" s="66">
        <f>(N300-E300)/E300</f>
        <v>0.90740740740740744</v>
      </c>
    </row>
    <row r="301" spans="1:17" ht="16" x14ac:dyDescent="0.2">
      <c r="A301" s="64">
        <v>316</v>
      </c>
      <c r="B301" s="64" t="s">
        <v>48</v>
      </c>
      <c r="C301" s="64" t="s">
        <v>227</v>
      </c>
      <c r="D301" s="65" t="s">
        <v>207</v>
      </c>
      <c r="E301" s="64">
        <v>4.5999999999999996</v>
      </c>
      <c r="F301" s="64">
        <v>5.0999999999999996</v>
      </c>
      <c r="G301" s="64">
        <v>5.3</v>
      </c>
      <c r="H301" s="63">
        <v>5.0999999999999996</v>
      </c>
      <c r="I301" s="63">
        <v>6.6</v>
      </c>
      <c r="J301" s="63">
        <v>7.4</v>
      </c>
      <c r="K301" s="63">
        <v>8.8000000000000007</v>
      </c>
      <c r="L301" s="63">
        <v>10.8</v>
      </c>
      <c r="M301" s="63">
        <v>11.7</v>
      </c>
      <c r="N301" s="63">
        <v>11.9</v>
      </c>
      <c r="O301" s="63" t="s">
        <v>316</v>
      </c>
      <c r="P301" s="63">
        <f>N301-E301</f>
        <v>7.3000000000000007</v>
      </c>
      <c r="Q301" s="66">
        <f>(N301-E301)/E301</f>
        <v>1.5869565217391308</v>
      </c>
    </row>
    <row r="302" spans="1:17" ht="16" x14ac:dyDescent="0.2">
      <c r="A302" s="64">
        <v>317</v>
      </c>
      <c r="B302" s="64" t="s">
        <v>48</v>
      </c>
      <c r="C302" s="64" t="s">
        <v>227</v>
      </c>
      <c r="D302" s="65" t="s">
        <v>207</v>
      </c>
      <c r="E302" s="64">
        <v>4.5999999999999996</v>
      </c>
      <c r="F302" s="64">
        <v>5.5</v>
      </c>
      <c r="G302" s="64">
        <v>5.7</v>
      </c>
      <c r="H302" s="63">
        <v>5.8</v>
      </c>
      <c r="I302" s="63">
        <v>7.3</v>
      </c>
      <c r="J302" s="63">
        <v>7.7</v>
      </c>
      <c r="K302" s="63">
        <v>10.1</v>
      </c>
      <c r="L302" s="63">
        <v>13.4</v>
      </c>
      <c r="M302" s="63">
        <v>10.7</v>
      </c>
      <c r="N302" s="63">
        <v>10.9</v>
      </c>
      <c r="O302" s="63" t="s">
        <v>316</v>
      </c>
      <c r="P302" s="63">
        <f>N302-E302</f>
        <v>6.3000000000000007</v>
      </c>
      <c r="Q302" s="66">
        <f>(N302-E302)/E302</f>
        <v>1.3695652173913047</v>
      </c>
    </row>
    <row r="303" spans="1:17" ht="16" x14ac:dyDescent="0.2">
      <c r="A303" s="64">
        <v>318</v>
      </c>
      <c r="B303" s="64" t="s">
        <v>48</v>
      </c>
      <c r="C303" s="64" t="s">
        <v>227</v>
      </c>
      <c r="D303" s="65" t="s">
        <v>207</v>
      </c>
      <c r="E303" s="64">
        <v>4.0999999999999996</v>
      </c>
      <c r="F303" s="64">
        <v>5.0999999999999996</v>
      </c>
      <c r="G303" s="64">
        <v>5.4</v>
      </c>
      <c r="H303" s="63">
        <v>5.8</v>
      </c>
      <c r="I303" s="63">
        <v>7.7</v>
      </c>
      <c r="J303" s="63">
        <v>6.5</v>
      </c>
      <c r="K303" s="63">
        <v>8</v>
      </c>
      <c r="L303" s="63">
        <v>10.6</v>
      </c>
      <c r="M303" s="63">
        <v>11.4</v>
      </c>
      <c r="N303" s="63">
        <v>11.7</v>
      </c>
      <c r="O303" s="63" t="s">
        <v>316</v>
      </c>
      <c r="P303" s="63">
        <f>N303-E303</f>
        <v>7.6</v>
      </c>
      <c r="Q303" s="66">
        <f>(N303-E303)/E303</f>
        <v>1.8536585365853659</v>
      </c>
    </row>
    <row r="304" spans="1:17" ht="16" x14ac:dyDescent="0.2">
      <c r="A304" s="64">
        <v>319</v>
      </c>
      <c r="B304" s="64" t="s">
        <v>48</v>
      </c>
      <c r="C304" s="64" t="s">
        <v>227</v>
      </c>
      <c r="D304" s="65" t="s">
        <v>207</v>
      </c>
      <c r="E304" s="64">
        <v>5.7</v>
      </c>
      <c r="F304" s="64">
        <v>5.4</v>
      </c>
      <c r="G304" s="64">
        <v>5.8</v>
      </c>
      <c r="H304" s="63">
        <v>7.1</v>
      </c>
      <c r="I304" s="63">
        <v>6.7</v>
      </c>
      <c r="J304" s="63">
        <v>7.6</v>
      </c>
      <c r="K304" s="63">
        <v>9</v>
      </c>
      <c r="L304" s="63">
        <v>9.9</v>
      </c>
      <c r="M304" s="63">
        <v>10.8</v>
      </c>
      <c r="N304" s="63">
        <v>10.5</v>
      </c>
      <c r="O304" s="63" t="s">
        <v>316</v>
      </c>
      <c r="P304" s="63">
        <f>N304-E304</f>
        <v>4.8</v>
      </c>
      <c r="Q304" s="66">
        <f>(N304-E304)/E304</f>
        <v>0.84210526315789469</v>
      </c>
    </row>
    <row r="305" spans="1:17" ht="16" x14ac:dyDescent="0.2">
      <c r="A305" s="64">
        <v>320</v>
      </c>
      <c r="B305" s="64" t="s">
        <v>48</v>
      </c>
      <c r="C305" s="64" t="s">
        <v>227</v>
      </c>
      <c r="D305" s="65" t="s">
        <v>207</v>
      </c>
      <c r="E305" s="64">
        <v>4.5999999999999996</v>
      </c>
      <c r="F305" s="64">
        <v>4.7</v>
      </c>
      <c r="G305" s="64">
        <v>5.2</v>
      </c>
      <c r="H305" s="63">
        <v>6.8</v>
      </c>
      <c r="I305" s="63">
        <v>6.8</v>
      </c>
      <c r="J305" s="63">
        <v>8.1</v>
      </c>
      <c r="K305" s="63">
        <v>9.8000000000000007</v>
      </c>
      <c r="L305" s="63">
        <v>11.4</v>
      </c>
      <c r="M305" s="63">
        <v>12.9</v>
      </c>
      <c r="N305" s="63">
        <v>14</v>
      </c>
      <c r="O305" s="63" t="s">
        <v>316</v>
      </c>
      <c r="P305" s="63">
        <f>N305-E305</f>
        <v>9.4</v>
      </c>
      <c r="Q305" s="66">
        <f>(N305-E305)/E305</f>
        <v>2.0434782608695654</v>
      </c>
    </row>
    <row r="306" spans="1:17" ht="16" x14ac:dyDescent="0.2">
      <c r="A306" s="64">
        <v>321</v>
      </c>
      <c r="B306" s="64" t="s">
        <v>48</v>
      </c>
      <c r="C306" s="64" t="s">
        <v>227</v>
      </c>
      <c r="D306" s="65" t="s">
        <v>207</v>
      </c>
      <c r="E306" s="64">
        <v>4.2</v>
      </c>
      <c r="F306" s="64">
        <v>2.9</v>
      </c>
      <c r="G306" s="64">
        <v>3.8</v>
      </c>
      <c r="H306" s="63">
        <v>3.4</v>
      </c>
      <c r="I306" s="63">
        <v>3.2</v>
      </c>
      <c r="J306" s="63">
        <v>3.8</v>
      </c>
      <c r="K306" s="63">
        <v>7.7</v>
      </c>
      <c r="L306" s="63">
        <v>9.1</v>
      </c>
      <c r="M306" s="63">
        <v>9.6</v>
      </c>
      <c r="N306" s="63">
        <v>10.6</v>
      </c>
      <c r="O306" s="63" t="s">
        <v>316</v>
      </c>
      <c r="P306" s="63">
        <f>N306-E306</f>
        <v>6.3999999999999995</v>
      </c>
      <c r="Q306" s="66">
        <f>(N306-E306)/E306</f>
        <v>1.5238095238095237</v>
      </c>
    </row>
    <row r="307" spans="1:17" ht="16" x14ac:dyDescent="0.2">
      <c r="A307" s="64">
        <v>322</v>
      </c>
      <c r="B307" s="64" t="s">
        <v>48</v>
      </c>
      <c r="C307" s="64" t="s">
        <v>227</v>
      </c>
      <c r="D307" s="65" t="s">
        <v>207</v>
      </c>
      <c r="E307" s="64">
        <v>4.5999999999999996</v>
      </c>
      <c r="F307" s="64">
        <v>4.2</v>
      </c>
      <c r="G307" s="64">
        <v>3.8</v>
      </c>
      <c r="H307" s="63">
        <v>6.4</v>
      </c>
      <c r="I307" s="63">
        <v>6.9</v>
      </c>
      <c r="J307" s="63">
        <v>7.4</v>
      </c>
      <c r="K307" s="63">
        <v>0</v>
      </c>
      <c r="L307" s="63">
        <v>0</v>
      </c>
      <c r="M307" s="63">
        <v>0</v>
      </c>
      <c r="N307" s="63">
        <v>0</v>
      </c>
      <c r="O307" s="63" t="s">
        <v>305</v>
      </c>
      <c r="P307" s="63">
        <f>N307-E307</f>
        <v>-4.5999999999999996</v>
      </c>
      <c r="Q307" s="66">
        <f>(N307-E307)/E307</f>
        <v>-1</v>
      </c>
    </row>
    <row r="308" spans="1:17" ht="16" x14ac:dyDescent="0.2">
      <c r="A308" s="64">
        <v>323</v>
      </c>
      <c r="B308" s="64" t="s">
        <v>48</v>
      </c>
      <c r="C308" s="64" t="s">
        <v>227</v>
      </c>
      <c r="D308" s="65" t="s">
        <v>207</v>
      </c>
      <c r="E308" s="64">
        <v>5</v>
      </c>
      <c r="F308" s="64">
        <v>5</v>
      </c>
      <c r="G308" s="64">
        <v>4.9000000000000004</v>
      </c>
      <c r="H308" s="63">
        <v>5.8</v>
      </c>
      <c r="I308" s="63">
        <v>0</v>
      </c>
      <c r="J308" s="63">
        <v>0</v>
      </c>
      <c r="K308" s="63">
        <v>0</v>
      </c>
      <c r="L308" s="63">
        <v>0</v>
      </c>
      <c r="M308" s="63">
        <v>0</v>
      </c>
      <c r="N308" s="63">
        <v>0</v>
      </c>
      <c r="O308" s="63" t="s">
        <v>305</v>
      </c>
      <c r="P308" s="63">
        <f>N308-E308</f>
        <v>-5</v>
      </c>
      <c r="Q308" s="66">
        <f>(N308-E308)/E308</f>
        <v>-1</v>
      </c>
    </row>
    <row r="309" spans="1:17" ht="16" x14ac:dyDescent="0.2">
      <c r="A309" s="64">
        <v>324</v>
      </c>
      <c r="B309" s="64" t="s">
        <v>48</v>
      </c>
      <c r="C309" s="64" t="s">
        <v>227</v>
      </c>
      <c r="D309" s="65" t="s">
        <v>207</v>
      </c>
      <c r="E309" s="64">
        <v>4.9000000000000004</v>
      </c>
      <c r="F309" s="64">
        <v>4.8</v>
      </c>
      <c r="G309" s="64">
        <v>5.2</v>
      </c>
      <c r="H309" s="63">
        <v>6.6</v>
      </c>
      <c r="I309" s="63">
        <v>6.8</v>
      </c>
      <c r="J309" s="63">
        <v>6.3</v>
      </c>
      <c r="K309" s="63">
        <v>8.1</v>
      </c>
      <c r="L309" s="63">
        <v>10.7</v>
      </c>
      <c r="M309" s="63">
        <v>10.3</v>
      </c>
      <c r="N309" s="63">
        <v>11</v>
      </c>
      <c r="O309" s="63" t="s">
        <v>316</v>
      </c>
      <c r="P309" s="63">
        <f>N309-E309</f>
        <v>6.1</v>
      </c>
      <c r="Q309" s="66">
        <f>(N309-E309)/E309</f>
        <v>1.2448979591836733</v>
      </c>
    </row>
    <row r="310" spans="1:17" ht="16" x14ac:dyDescent="0.2">
      <c r="A310" s="64">
        <v>361</v>
      </c>
      <c r="B310" s="64" t="s">
        <v>50</v>
      </c>
      <c r="C310" s="64" t="s">
        <v>227</v>
      </c>
      <c r="D310" s="65" t="s">
        <v>209</v>
      </c>
      <c r="E310" s="64">
        <v>6</v>
      </c>
      <c r="F310" s="64">
        <v>4.5999999999999996</v>
      </c>
      <c r="G310" s="64">
        <v>4.8</v>
      </c>
      <c r="H310" s="63">
        <v>6</v>
      </c>
      <c r="I310" s="63">
        <v>6.5</v>
      </c>
      <c r="J310" s="63">
        <v>7.6</v>
      </c>
      <c r="K310" s="63">
        <v>6.1</v>
      </c>
      <c r="L310" s="63">
        <v>8.1999999999999993</v>
      </c>
      <c r="M310" s="63">
        <v>6</v>
      </c>
      <c r="N310" s="63">
        <v>6</v>
      </c>
      <c r="O310" s="63" t="s">
        <v>316</v>
      </c>
      <c r="P310" s="63">
        <f>N310-E310</f>
        <v>0</v>
      </c>
      <c r="Q310" s="66">
        <f>(N310-E310)/E310</f>
        <v>0</v>
      </c>
    </row>
    <row r="311" spans="1:17" ht="16" x14ac:dyDescent="0.2">
      <c r="A311" s="64">
        <v>362</v>
      </c>
      <c r="B311" s="64" t="s">
        <v>50</v>
      </c>
      <c r="C311" s="64" t="s">
        <v>227</v>
      </c>
      <c r="D311" s="65" t="s">
        <v>209</v>
      </c>
      <c r="E311" s="64">
        <v>4.9000000000000004</v>
      </c>
      <c r="F311" s="64">
        <v>5.2</v>
      </c>
      <c r="G311" s="64">
        <v>5.3</v>
      </c>
      <c r="H311" s="63">
        <v>7.1</v>
      </c>
      <c r="I311" s="63">
        <v>7.1</v>
      </c>
      <c r="J311" s="63">
        <v>7.8</v>
      </c>
      <c r="K311" s="63">
        <v>9.8000000000000007</v>
      </c>
      <c r="L311" s="63">
        <v>10.8</v>
      </c>
      <c r="M311" s="63">
        <v>10.9</v>
      </c>
      <c r="N311" s="63">
        <v>9.9</v>
      </c>
      <c r="O311" s="63" t="s">
        <v>316</v>
      </c>
      <c r="P311" s="63">
        <f>N311-E311</f>
        <v>5</v>
      </c>
      <c r="Q311" s="66">
        <f>(N311-E311)/E311</f>
        <v>1.0204081632653061</v>
      </c>
    </row>
    <row r="312" spans="1:17" ht="16" x14ac:dyDescent="0.2">
      <c r="A312" s="64">
        <v>363</v>
      </c>
      <c r="B312" s="64" t="s">
        <v>50</v>
      </c>
      <c r="C312" s="64" t="s">
        <v>227</v>
      </c>
      <c r="D312" s="65" t="s">
        <v>209</v>
      </c>
      <c r="E312" s="64">
        <v>5.9</v>
      </c>
      <c r="F312" s="64">
        <v>6.4</v>
      </c>
      <c r="G312" s="64">
        <v>6.4</v>
      </c>
      <c r="H312" s="63">
        <v>8.1</v>
      </c>
      <c r="I312" s="63">
        <v>8.6999999999999993</v>
      </c>
      <c r="J312" s="63">
        <v>9.5</v>
      </c>
      <c r="K312" s="63">
        <v>7.9</v>
      </c>
      <c r="L312" s="63">
        <v>8.1</v>
      </c>
      <c r="M312" s="63">
        <v>8.9</v>
      </c>
      <c r="N312" s="63">
        <v>8.3000000000000007</v>
      </c>
      <c r="O312" s="63" t="s">
        <v>316</v>
      </c>
      <c r="P312" s="63">
        <f>N312-E312</f>
        <v>2.4000000000000004</v>
      </c>
      <c r="Q312" s="66">
        <f>(N312-E312)/E312</f>
        <v>0.40677966101694918</v>
      </c>
    </row>
    <row r="313" spans="1:17" ht="16" x14ac:dyDescent="0.2">
      <c r="A313" s="64">
        <v>364</v>
      </c>
      <c r="B313" s="64" t="s">
        <v>50</v>
      </c>
      <c r="C313" s="64" t="s">
        <v>227</v>
      </c>
      <c r="D313" s="65" t="s">
        <v>209</v>
      </c>
      <c r="E313" s="64">
        <v>5.9</v>
      </c>
      <c r="F313" s="64">
        <v>5.7</v>
      </c>
      <c r="G313" s="64">
        <v>6</v>
      </c>
      <c r="H313" s="63">
        <v>7.2</v>
      </c>
      <c r="I313" s="63">
        <v>7.2</v>
      </c>
      <c r="J313" s="63">
        <v>7.7</v>
      </c>
      <c r="K313" s="63">
        <v>9.5</v>
      </c>
      <c r="L313" s="63">
        <v>10.5</v>
      </c>
      <c r="M313" s="63">
        <v>10.7</v>
      </c>
      <c r="N313" s="63">
        <v>10</v>
      </c>
      <c r="O313" s="63" t="s">
        <v>316</v>
      </c>
      <c r="P313" s="63">
        <f>N313-E313</f>
        <v>4.0999999999999996</v>
      </c>
      <c r="Q313" s="66">
        <f>(N313-E313)/E313</f>
        <v>0.69491525423728806</v>
      </c>
    </row>
    <row r="314" spans="1:17" ht="16" x14ac:dyDescent="0.2">
      <c r="A314" s="64">
        <v>365</v>
      </c>
      <c r="B314" s="64" t="s">
        <v>50</v>
      </c>
      <c r="C314" s="64" t="s">
        <v>227</v>
      </c>
      <c r="D314" s="65" t="s">
        <v>209</v>
      </c>
      <c r="E314" s="64">
        <v>5.6</v>
      </c>
      <c r="F314" s="64">
        <v>5.3</v>
      </c>
      <c r="G314" s="64">
        <v>5.4</v>
      </c>
      <c r="H314" s="63">
        <v>6.1</v>
      </c>
      <c r="I314" s="63">
        <v>6.4</v>
      </c>
      <c r="J314" s="63">
        <v>6.5</v>
      </c>
      <c r="K314" s="63">
        <v>8.1</v>
      </c>
      <c r="L314" s="63">
        <v>8.1</v>
      </c>
      <c r="M314" s="63">
        <v>8.8000000000000007</v>
      </c>
      <c r="N314" s="63">
        <v>9</v>
      </c>
      <c r="O314" s="63" t="s">
        <v>316</v>
      </c>
      <c r="P314" s="63">
        <f>N314-E314</f>
        <v>3.4000000000000004</v>
      </c>
      <c r="Q314" s="66">
        <f>(N314-E314)/E314</f>
        <v>0.60714285714285721</v>
      </c>
    </row>
    <row r="315" spans="1:17" ht="16" x14ac:dyDescent="0.2">
      <c r="A315" s="64">
        <v>366</v>
      </c>
      <c r="B315" s="64" t="s">
        <v>50</v>
      </c>
      <c r="C315" s="64" t="s">
        <v>227</v>
      </c>
      <c r="D315" s="65" t="s">
        <v>209</v>
      </c>
      <c r="E315" s="64">
        <v>5.5</v>
      </c>
      <c r="F315" s="64">
        <v>5.2</v>
      </c>
      <c r="G315" s="64">
        <v>5.2</v>
      </c>
      <c r="H315" s="63">
        <v>6.5</v>
      </c>
      <c r="I315" s="63">
        <v>6.8</v>
      </c>
      <c r="J315" s="63">
        <v>7.8</v>
      </c>
      <c r="K315" s="63">
        <v>9.6999999999999993</v>
      </c>
      <c r="L315" s="63">
        <v>9.6</v>
      </c>
      <c r="M315" s="63">
        <v>10</v>
      </c>
      <c r="N315" s="63">
        <v>9.1999999999999993</v>
      </c>
      <c r="O315" s="63" t="s">
        <v>316</v>
      </c>
      <c r="P315" s="63">
        <f>N315-E315</f>
        <v>3.6999999999999993</v>
      </c>
      <c r="Q315" s="66">
        <f>(N315-E315)/E315</f>
        <v>0.67272727272727262</v>
      </c>
    </row>
    <row r="316" spans="1:17" ht="16" x14ac:dyDescent="0.2">
      <c r="A316" s="64">
        <v>367</v>
      </c>
      <c r="B316" s="64" t="s">
        <v>50</v>
      </c>
      <c r="C316" s="64" t="s">
        <v>227</v>
      </c>
      <c r="D316" s="65" t="s">
        <v>209</v>
      </c>
      <c r="E316" s="64">
        <v>5.9</v>
      </c>
      <c r="F316" s="64">
        <v>5.4</v>
      </c>
      <c r="G316" s="64">
        <v>4.5</v>
      </c>
      <c r="H316" s="63">
        <v>6.4</v>
      </c>
      <c r="I316" s="63">
        <v>7.8</v>
      </c>
      <c r="J316" s="63">
        <v>7.5</v>
      </c>
      <c r="K316" s="63">
        <v>7.8</v>
      </c>
      <c r="L316" s="63">
        <v>9.1999999999999993</v>
      </c>
      <c r="M316" s="63">
        <v>9.6</v>
      </c>
      <c r="N316" s="63">
        <v>10.7</v>
      </c>
      <c r="O316" s="63" t="s">
        <v>316</v>
      </c>
      <c r="P316" s="63">
        <f>N316-E316</f>
        <v>4.7999999999999989</v>
      </c>
      <c r="Q316" s="66">
        <f>(N316-E316)/E316</f>
        <v>0.81355932203389802</v>
      </c>
    </row>
    <row r="317" spans="1:17" ht="16" x14ac:dyDescent="0.2">
      <c r="A317" s="64">
        <v>368</v>
      </c>
      <c r="B317" s="64" t="s">
        <v>50</v>
      </c>
      <c r="C317" s="64" t="s">
        <v>227</v>
      </c>
      <c r="D317" s="65" t="s">
        <v>209</v>
      </c>
      <c r="E317" s="64">
        <v>5</v>
      </c>
      <c r="F317" s="64">
        <v>4.8</v>
      </c>
      <c r="G317" s="64">
        <v>5</v>
      </c>
      <c r="H317" s="63">
        <v>5.6</v>
      </c>
      <c r="I317" s="63">
        <v>5.8</v>
      </c>
      <c r="J317" s="63">
        <v>6.2</v>
      </c>
      <c r="K317" s="63">
        <v>6.6</v>
      </c>
      <c r="L317" s="63">
        <v>7.2</v>
      </c>
      <c r="M317" s="63">
        <v>8.6</v>
      </c>
      <c r="N317" s="63">
        <v>9.1</v>
      </c>
      <c r="O317" s="63" t="s">
        <v>316</v>
      </c>
      <c r="P317" s="63">
        <f>N317-E317</f>
        <v>4.0999999999999996</v>
      </c>
      <c r="Q317" s="66">
        <f>(N317-E317)/E317</f>
        <v>0.82</v>
      </c>
    </row>
    <row r="318" spans="1:17" ht="16" x14ac:dyDescent="0.2">
      <c r="A318" s="64">
        <v>369</v>
      </c>
      <c r="B318" s="64" t="s">
        <v>50</v>
      </c>
      <c r="C318" s="64" t="s">
        <v>227</v>
      </c>
      <c r="D318" s="65" t="s">
        <v>209</v>
      </c>
      <c r="E318" s="64">
        <v>5.0999999999999996</v>
      </c>
      <c r="F318" s="64">
        <v>5.9</v>
      </c>
      <c r="G318" s="64">
        <v>5</v>
      </c>
      <c r="H318" s="63">
        <v>6.9</v>
      </c>
      <c r="I318" s="63">
        <v>7.1</v>
      </c>
      <c r="J318" s="63">
        <v>6.8</v>
      </c>
      <c r="K318" s="63">
        <v>8.4</v>
      </c>
      <c r="L318" s="63">
        <v>9.3000000000000007</v>
      </c>
      <c r="M318" s="63">
        <v>10.199999999999999</v>
      </c>
      <c r="N318" s="63">
        <v>11.2</v>
      </c>
      <c r="O318" s="63" t="s">
        <v>316</v>
      </c>
      <c r="P318" s="63">
        <f>N318-E318</f>
        <v>6.1</v>
      </c>
      <c r="Q318" s="66">
        <f>(N318-E318)/E318</f>
        <v>1.196078431372549</v>
      </c>
    </row>
    <row r="319" spans="1:17" ht="16" x14ac:dyDescent="0.2">
      <c r="A319" s="64">
        <v>370</v>
      </c>
      <c r="B319" s="64" t="s">
        <v>50</v>
      </c>
      <c r="C319" s="64" t="s">
        <v>227</v>
      </c>
      <c r="D319" s="65" t="s">
        <v>209</v>
      </c>
      <c r="E319" s="64">
        <v>4.0999999999999996</v>
      </c>
      <c r="F319" s="64">
        <v>3.9</v>
      </c>
      <c r="G319" s="64">
        <v>3.5</v>
      </c>
      <c r="H319" s="63">
        <v>4.5999999999999996</v>
      </c>
      <c r="I319" s="63">
        <v>4.4000000000000004</v>
      </c>
      <c r="J319" s="63">
        <v>4.3</v>
      </c>
      <c r="K319" s="63">
        <v>8.6</v>
      </c>
      <c r="L319" s="63">
        <v>8.1999999999999993</v>
      </c>
      <c r="M319" s="63">
        <v>8.3000000000000007</v>
      </c>
      <c r="N319" s="63">
        <v>9.8000000000000007</v>
      </c>
      <c r="O319" s="63" t="s">
        <v>316</v>
      </c>
      <c r="P319" s="63">
        <f>N319-E319</f>
        <v>5.7000000000000011</v>
      </c>
      <c r="Q319" s="66">
        <f>(N319-E319)/E319</f>
        <v>1.3902439024390247</v>
      </c>
    </row>
    <row r="320" spans="1:17" ht="16" x14ac:dyDescent="0.2">
      <c r="A320" s="64">
        <v>371</v>
      </c>
      <c r="B320" s="64" t="s">
        <v>50</v>
      </c>
      <c r="C320" s="64" t="s">
        <v>227</v>
      </c>
      <c r="D320" s="65" t="s">
        <v>209</v>
      </c>
      <c r="E320" s="64">
        <v>5.0999999999999996</v>
      </c>
      <c r="F320" s="64">
        <v>4.7</v>
      </c>
      <c r="G320" s="64">
        <v>4.5</v>
      </c>
      <c r="H320" s="63">
        <v>5.4</v>
      </c>
      <c r="I320" s="63">
        <v>5.2</v>
      </c>
      <c r="J320" s="63">
        <v>4.9000000000000004</v>
      </c>
      <c r="K320" s="63">
        <v>6.1</v>
      </c>
      <c r="L320" s="63">
        <v>7.5</v>
      </c>
      <c r="M320" s="63">
        <v>8.6</v>
      </c>
      <c r="N320" s="63">
        <v>8.6999999999999993</v>
      </c>
      <c r="O320" s="63" t="s">
        <v>316</v>
      </c>
      <c r="P320" s="63">
        <f>N320-E320</f>
        <v>3.5999999999999996</v>
      </c>
      <c r="Q320" s="66">
        <f>(N320-E320)/E320</f>
        <v>0.70588235294117641</v>
      </c>
    </row>
    <row r="321" spans="1:17" ht="16" x14ac:dyDescent="0.2">
      <c r="A321" s="64">
        <v>372</v>
      </c>
      <c r="B321" s="64" t="s">
        <v>50</v>
      </c>
      <c r="C321" s="64" t="s">
        <v>227</v>
      </c>
      <c r="D321" s="65" t="s">
        <v>209</v>
      </c>
      <c r="E321" s="64">
        <v>5.5</v>
      </c>
      <c r="F321" s="64">
        <v>5.2</v>
      </c>
      <c r="G321" s="64">
        <v>4.9000000000000004</v>
      </c>
      <c r="H321" s="63">
        <v>5.9</v>
      </c>
      <c r="I321" s="63">
        <v>6.3</v>
      </c>
      <c r="J321" s="63">
        <v>6.8</v>
      </c>
      <c r="K321" s="63">
        <v>8.5</v>
      </c>
      <c r="L321" s="63">
        <v>9.9</v>
      </c>
      <c r="M321" s="63">
        <v>10.4</v>
      </c>
      <c r="N321" s="63">
        <v>11.6</v>
      </c>
      <c r="O321" s="63" t="s">
        <v>316</v>
      </c>
      <c r="P321" s="63">
        <f>N321-E321</f>
        <v>6.1</v>
      </c>
      <c r="Q321" s="66">
        <f>(N321-E321)/E321</f>
        <v>1.1090909090909091</v>
      </c>
    </row>
    <row r="322" spans="1:17" ht="16" x14ac:dyDescent="0.2">
      <c r="A322" s="64">
        <v>373</v>
      </c>
      <c r="B322" s="64" t="s">
        <v>50</v>
      </c>
      <c r="C322" s="64" t="s">
        <v>227</v>
      </c>
      <c r="D322" s="65" t="s">
        <v>209</v>
      </c>
      <c r="E322" s="64">
        <v>5.9</v>
      </c>
      <c r="F322" s="64">
        <v>5.7</v>
      </c>
      <c r="G322" s="64">
        <v>5.0999999999999996</v>
      </c>
      <c r="H322" s="63">
        <v>6.9</v>
      </c>
      <c r="I322" s="63">
        <v>7.7</v>
      </c>
      <c r="J322" s="63">
        <v>7.3</v>
      </c>
      <c r="K322" s="63">
        <v>7.8</v>
      </c>
      <c r="L322" s="63">
        <v>8.3000000000000007</v>
      </c>
      <c r="M322" s="63">
        <v>9.4</v>
      </c>
      <c r="N322" s="63">
        <v>9.8000000000000007</v>
      </c>
      <c r="O322" s="63" t="s">
        <v>316</v>
      </c>
      <c r="P322" s="63">
        <f>N322-E322</f>
        <v>3.9000000000000004</v>
      </c>
      <c r="Q322" s="66">
        <f>(N322-E322)/E322</f>
        <v>0.66101694915254239</v>
      </c>
    </row>
    <row r="323" spans="1:17" ht="16" x14ac:dyDescent="0.2">
      <c r="A323" s="64">
        <v>374</v>
      </c>
      <c r="B323" s="64" t="s">
        <v>50</v>
      </c>
      <c r="C323" s="64" t="s">
        <v>227</v>
      </c>
      <c r="D323" s="65" t="s">
        <v>209</v>
      </c>
      <c r="E323" s="64">
        <v>4.9000000000000004</v>
      </c>
      <c r="F323" s="64">
        <v>4.4000000000000004</v>
      </c>
      <c r="G323" s="64">
        <v>3.8</v>
      </c>
      <c r="H323" s="63">
        <v>4.9000000000000004</v>
      </c>
      <c r="I323" s="63">
        <v>6.4</v>
      </c>
      <c r="J323" s="63">
        <v>4.9000000000000004</v>
      </c>
      <c r="K323" s="63">
        <v>6</v>
      </c>
      <c r="L323" s="63">
        <v>7.1</v>
      </c>
      <c r="M323" s="63">
        <v>6.8</v>
      </c>
      <c r="N323" s="63">
        <v>6.8</v>
      </c>
      <c r="O323" s="63" t="s">
        <v>316</v>
      </c>
      <c r="P323" s="63">
        <f>N323-E323</f>
        <v>1.8999999999999995</v>
      </c>
      <c r="Q323" s="66">
        <f>(N323-E323)/E323</f>
        <v>0.3877551020408162</v>
      </c>
    </row>
    <row r="324" spans="1:17" ht="16" x14ac:dyDescent="0.2">
      <c r="A324" s="64">
        <v>375</v>
      </c>
      <c r="B324" s="64" t="s">
        <v>50</v>
      </c>
      <c r="C324" s="64" t="s">
        <v>227</v>
      </c>
      <c r="D324" s="65" t="s">
        <v>209</v>
      </c>
      <c r="E324" s="64">
        <v>5.9</v>
      </c>
      <c r="F324" s="64">
        <v>4.9000000000000004</v>
      </c>
      <c r="G324" s="64">
        <v>5.7</v>
      </c>
      <c r="H324" s="63">
        <v>6.6</v>
      </c>
      <c r="I324" s="63">
        <v>6.1</v>
      </c>
      <c r="J324" s="63">
        <v>6.5</v>
      </c>
      <c r="K324" s="63">
        <v>8.6999999999999993</v>
      </c>
      <c r="L324" s="63">
        <v>9.5</v>
      </c>
      <c r="M324" s="63">
        <v>10.4</v>
      </c>
      <c r="N324" s="63">
        <v>10.5</v>
      </c>
      <c r="O324" s="63" t="s">
        <v>316</v>
      </c>
      <c r="P324" s="63">
        <f>N324-E324</f>
        <v>4.5999999999999996</v>
      </c>
      <c r="Q324" s="66">
        <f>(N324-E324)/E324</f>
        <v>0.77966101694915246</v>
      </c>
    </row>
    <row r="325" spans="1:17" ht="16" x14ac:dyDescent="0.2">
      <c r="A325" s="64">
        <v>376</v>
      </c>
      <c r="B325" s="64" t="s">
        <v>50</v>
      </c>
      <c r="C325" s="64" t="s">
        <v>227</v>
      </c>
      <c r="D325" s="65" t="s">
        <v>209</v>
      </c>
      <c r="E325" s="64">
        <v>6.5</v>
      </c>
      <c r="F325" s="64">
        <v>5</v>
      </c>
      <c r="G325" s="64">
        <v>5.7</v>
      </c>
      <c r="H325" s="63">
        <v>7.7</v>
      </c>
      <c r="I325" s="63">
        <v>8.4</v>
      </c>
      <c r="J325" s="63">
        <v>8</v>
      </c>
      <c r="K325" s="63">
        <v>10.5</v>
      </c>
      <c r="L325" s="63">
        <v>11.3</v>
      </c>
      <c r="M325" s="63">
        <v>12.1</v>
      </c>
      <c r="N325" s="63">
        <v>12.5</v>
      </c>
      <c r="O325" s="63" t="s">
        <v>316</v>
      </c>
      <c r="P325" s="63">
        <f>N325-E325</f>
        <v>6</v>
      </c>
      <c r="Q325" s="66">
        <f>(N325-E325)/E325</f>
        <v>0.92307692307692313</v>
      </c>
    </row>
    <row r="326" spans="1:17" ht="16" x14ac:dyDescent="0.2">
      <c r="A326" s="64">
        <v>377</v>
      </c>
      <c r="B326" s="64" t="s">
        <v>50</v>
      </c>
      <c r="C326" s="64" t="s">
        <v>227</v>
      </c>
      <c r="D326" s="65" t="s">
        <v>209</v>
      </c>
      <c r="E326" s="64">
        <v>5</v>
      </c>
      <c r="F326" s="64">
        <v>4</v>
      </c>
      <c r="G326" s="64">
        <v>4.0999999999999996</v>
      </c>
      <c r="H326" s="63">
        <v>5.8</v>
      </c>
      <c r="I326" s="63">
        <v>5.6</v>
      </c>
      <c r="J326" s="63">
        <v>6.3</v>
      </c>
      <c r="K326" s="63">
        <v>8.8000000000000007</v>
      </c>
      <c r="L326" s="63">
        <v>10</v>
      </c>
      <c r="M326" s="63">
        <v>11.1</v>
      </c>
      <c r="N326" s="63">
        <v>11.8</v>
      </c>
      <c r="O326" s="63" t="s">
        <v>316</v>
      </c>
      <c r="P326" s="63">
        <f>N326-E326</f>
        <v>6.8000000000000007</v>
      </c>
      <c r="Q326" s="66">
        <f>(N326-E326)/E326</f>
        <v>1.36</v>
      </c>
    </row>
    <row r="327" spans="1:17" ht="16" x14ac:dyDescent="0.2">
      <c r="A327" s="64">
        <v>378</v>
      </c>
      <c r="B327" s="64" t="s">
        <v>50</v>
      </c>
      <c r="C327" s="64" t="s">
        <v>227</v>
      </c>
      <c r="D327" s="65" t="s">
        <v>209</v>
      </c>
      <c r="E327" s="64">
        <v>5.7</v>
      </c>
      <c r="F327" s="64">
        <v>4.7</v>
      </c>
      <c r="G327" s="64">
        <v>5.4</v>
      </c>
      <c r="H327" s="63">
        <v>6.2</v>
      </c>
      <c r="I327" s="63">
        <v>6.9</v>
      </c>
      <c r="J327" s="63">
        <v>6.8</v>
      </c>
      <c r="K327" s="63">
        <v>9.1999999999999993</v>
      </c>
      <c r="L327" s="63">
        <v>11.9</v>
      </c>
      <c r="M327" s="63">
        <v>11.6</v>
      </c>
      <c r="N327" s="63">
        <v>12</v>
      </c>
      <c r="O327" s="63" t="s">
        <v>316</v>
      </c>
      <c r="P327" s="63">
        <f>N327-E327</f>
        <v>6.3</v>
      </c>
      <c r="Q327" s="66">
        <f>(N327-E327)/E327</f>
        <v>1.1052631578947367</v>
      </c>
    </row>
    <row r="328" spans="1:17" ht="16" x14ac:dyDescent="0.2">
      <c r="A328" s="64">
        <v>91</v>
      </c>
      <c r="B328" s="64" t="s">
        <v>39</v>
      </c>
      <c r="C328" s="64" t="s">
        <v>228</v>
      </c>
      <c r="D328" s="65" t="s">
        <v>207</v>
      </c>
      <c r="E328" s="64">
        <v>5.0999999999999996</v>
      </c>
      <c r="F328" s="64">
        <v>4.8</v>
      </c>
      <c r="G328" s="64">
        <v>5.2</v>
      </c>
      <c r="H328" s="63">
        <v>5.9</v>
      </c>
      <c r="I328" s="63">
        <v>6.8</v>
      </c>
      <c r="J328" s="63">
        <v>6.1</v>
      </c>
      <c r="K328" s="64">
        <v>6.1</v>
      </c>
      <c r="L328" s="63">
        <v>11</v>
      </c>
      <c r="M328" s="63">
        <v>11.9</v>
      </c>
      <c r="N328" s="63">
        <v>11.8</v>
      </c>
      <c r="O328" s="63" t="s">
        <v>316</v>
      </c>
      <c r="P328" s="63">
        <f>N328-E328</f>
        <v>6.7000000000000011</v>
      </c>
      <c r="Q328" s="66">
        <f>(N328-E328)/E328</f>
        <v>1.3137254901960786</v>
      </c>
    </row>
    <row r="329" spans="1:17" ht="16" x14ac:dyDescent="0.2">
      <c r="A329" s="64">
        <v>92</v>
      </c>
      <c r="B329" s="64" t="s">
        <v>39</v>
      </c>
      <c r="C329" s="64" t="s">
        <v>228</v>
      </c>
      <c r="D329" s="65" t="s">
        <v>209</v>
      </c>
      <c r="E329" s="64">
        <v>6.3</v>
      </c>
      <c r="F329" s="64">
        <v>5.4</v>
      </c>
      <c r="G329" s="64">
        <v>5.4</v>
      </c>
      <c r="H329" s="63">
        <v>5.8</v>
      </c>
      <c r="I329" s="63">
        <v>5.9</v>
      </c>
      <c r="J329" s="63">
        <v>5.0999999999999996</v>
      </c>
      <c r="K329" s="64">
        <v>5.0999999999999996</v>
      </c>
      <c r="L329" s="63">
        <v>7.3</v>
      </c>
      <c r="M329" s="63">
        <v>7.7</v>
      </c>
      <c r="N329" s="63">
        <v>8.1</v>
      </c>
      <c r="O329" s="63" t="s">
        <v>316</v>
      </c>
      <c r="P329" s="63">
        <f>N329-E329</f>
        <v>1.7999999999999998</v>
      </c>
      <c r="Q329" s="66">
        <f>(N329-E329)/E329</f>
        <v>0.2857142857142857</v>
      </c>
    </row>
    <row r="330" spans="1:17" ht="16" x14ac:dyDescent="0.2">
      <c r="A330" s="64">
        <v>93</v>
      </c>
      <c r="B330" s="64" t="s">
        <v>39</v>
      </c>
      <c r="C330" s="64" t="s">
        <v>228</v>
      </c>
      <c r="D330" s="65" t="s">
        <v>208</v>
      </c>
      <c r="E330" s="64">
        <v>5.9</v>
      </c>
      <c r="F330" s="64">
        <v>5.8</v>
      </c>
      <c r="G330" s="64">
        <v>5.0999999999999996</v>
      </c>
      <c r="H330" s="63">
        <v>6.2</v>
      </c>
      <c r="I330" s="63">
        <v>6.5</v>
      </c>
      <c r="J330" s="63">
        <v>6.3</v>
      </c>
      <c r="K330" s="64">
        <v>6.3</v>
      </c>
      <c r="L330" s="63">
        <v>10.7</v>
      </c>
      <c r="M330" s="63">
        <v>10.7</v>
      </c>
      <c r="N330" s="63">
        <v>12.3</v>
      </c>
      <c r="O330" s="63" t="s">
        <v>316</v>
      </c>
      <c r="P330" s="63">
        <f>N330-E330</f>
        <v>6.4</v>
      </c>
      <c r="Q330" s="66">
        <f>(N330-E330)/E330</f>
        <v>1.0847457627118644</v>
      </c>
    </row>
    <row r="331" spans="1:17" ht="16" x14ac:dyDescent="0.2">
      <c r="A331" s="64">
        <v>94</v>
      </c>
      <c r="B331" s="64" t="s">
        <v>39</v>
      </c>
      <c r="C331" s="64" t="s">
        <v>228</v>
      </c>
      <c r="D331" s="65" t="s">
        <v>207</v>
      </c>
      <c r="E331" s="64">
        <v>5.4</v>
      </c>
      <c r="F331" s="64">
        <v>4.5999999999999996</v>
      </c>
      <c r="G331" s="64">
        <v>4.5</v>
      </c>
      <c r="H331" s="63">
        <v>4.5</v>
      </c>
      <c r="I331" s="63">
        <v>4.9000000000000004</v>
      </c>
      <c r="J331" s="63">
        <v>5.4</v>
      </c>
      <c r="K331" s="64">
        <v>5.4</v>
      </c>
      <c r="L331" s="63">
        <v>8.6999999999999993</v>
      </c>
      <c r="M331" s="63">
        <v>8.6</v>
      </c>
      <c r="N331" s="63">
        <v>9.6</v>
      </c>
      <c r="O331" s="63" t="s">
        <v>316</v>
      </c>
      <c r="P331" s="63">
        <f>N331-E331</f>
        <v>4.1999999999999993</v>
      </c>
      <c r="Q331" s="66">
        <f>(N331-E331)/E331</f>
        <v>0.77777777777777757</v>
      </c>
    </row>
    <row r="332" spans="1:17" ht="16" x14ac:dyDescent="0.2">
      <c r="A332" s="64">
        <v>95</v>
      </c>
      <c r="B332" s="64" t="s">
        <v>39</v>
      </c>
      <c r="C332" s="64" t="s">
        <v>228</v>
      </c>
      <c r="D332" s="65" t="s">
        <v>209</v>
      </c>
      <c r="E332" s="64">
        <v>5.4</v>
      </c>
      <c r="F332" s="64">
        <v>4.8</v>
      </c>
      <c r="G332" s="64">
        <v>5.5</v>
      </c>
      <c r="H332" s="63">
        <v>5.8</v>
      </c>
      <c r="I332" s="63">
        <v>6</v>
      </c>
      <c r="J332" s="63">
        <v>6.5</v>
      </c>
      <c r="K332" s="64">
        <v>6.5</v>
      </c>
      <c r="L332" s="63">
        <v>7.7</v>
      </c>
      <c r="M332" s="63">
        <v>7.6</v>
      </c>
      <c r="N332" s="63">
        <v>8</v>
      </c>
      <c r="O332" s="63" t="s">
        <v>316</v>
      </c>
      <c r="P332" s="63">
        <f>N332-E332</f>
        <v>2.5999999999999996</v>
      </c>
      <c r="Q332" s="66">
        <f>(N332-E332)/E332</f>
        <v>0.4814814814814814</v>
      </c>
    </row>
    <row r="333" spans="1:17" ht="16" x14ac:dyDescent="0.2">
      <c r="A333" s="64">
        <v>96</v>
      </c>
      <c r="B333" s="64" t="s">
        <v>39</v>
      </c>
      <c r="C333" s="64" t="s">
        <v>228</v>
      </c>
      <c r="D333" s="65" t="s">
        <v>208</v>
      </c>
      <c r="E333" s="64">
        <v>6.8</v>
      </c>
      <c r="F333" s="64">
        <v>5.6</v>
      </c>
      <c r="G333" s="64">
        <v>7.4</v>
      </c>
      <c r="H333" s="63">
        <v>7.8</v>
      </c>
      <c r="I333" s="63">
        <v>8.6999999999999993</v>
      </c>
      <c r="J333" s="63">
        <v>9.1</v>
      </c>
      <c r="K333" s="64">
        <v>9.1</v>
      </c>
      <c r="L333" s="63">
        <v>12</v>
      </c>
      <c r="M333" s="63">
        <v>11.2</v>
      </c>
      <c r="N333" s="63">
        <v>11.6</v>
      </c>
      <c r="O333" s="63" t="s">
        <v>316</v>
      </c>
      <c r="P333" s="63">
        <f>N333-E333</f>
        <v>4.8</v>
      </c>
      <c r="Q333" s="66">
        <f>(N333-E333)/E333</f>
        <v>0.70588235294117652</v>
      </c>
    </row>
    <row r="334" spans="1:17" ht="16" x14ac:dyDescent="0.2">
      <c r="A334" s="64">
        <v>97</v>
      </c>
      <c r="B334" s="64" t="s">
        <v>39</v>
      </c>
      <c r="C334" s="64" t="s">
        <v>228</v>
      </c>
      <c r="D334" s="65" t="s">
        <v>208</v>
      </c>
      <c r="E334" s="64">
        <v>4.0999999999999996</v>
      </c>
      <c r="F334" s="64">
        <v>3.2</v>
      </c>
      <c r="G334" s="64">
        <v>4.2</v>
      </c>
      <c r="H334" s="63">
        <v>4.0999999999999996</v>
      </c>
      <c r="I334" s="63">
        <v>5</v>
      </c>
      <c r="J334" s="63">
        <v>5</v>
      </c>
      <c r="K334" s="64">
        <v>5</v>
      </c>
      <c r="L334" s="63">
        <v>9.5</v>
      </c>
      <c r="M334" s="63">
        <v>10.199999999999999</v>
      </c>
      <c r="N334" s="63">
        <v>10.8</v>
      </c>
      <c r="O334" s="63" t="s">
        <v>316</v>
      </c>
      <c r="P334" s="63">
        <f>N334-E334</f>
        <v>6.7000000000000011</v>
      </c>
      <c r="Q334" s="66">
        <f>(N334-E334)/E334</f>
        <v>1.634146341463415</v>
      </c>
    </row>
    <row r="335" spans="1:17" ht="16" x14ac:dyDescent="0.2">
      <c r="A335" s="64">
        <v>98</v>
      </c>
      <c r="B335" s="64" t="s">
        <v>39</v>
      </c>
      <c r="C335" s="64" t="s">
        <v>228</v>
      </c>
      <c r="D335" s="65" t="s">
        <v>207</v>
      </c>
      <c r="E335" s="64">
        <v>5.0999999999999996</v>
      </c>
      <c r="F335" s="64">
        <v>5.6</v>
      </c>
      <c r="G335" s="64">
        <v>5.6</v>
      </c>
      <c r="H335" s="63">
        <v>5.8</v>
      </c>
      <c r="I335" s="63">
        <v>6.9</v>
      </c>
      <c r="J335" s="63">
        <v>7.8</v>
      </c>
      <c r="K335" s="64">
        <v>7.8</v>
      </c>
      <c r="L335" s="63">
        <v>11</v>
      </c>
      <c r="M335" s="63">
        <v>12.3</v>
      </c>
      <c r="N335" s="63">
        <v>12.8</v>
      </c>
      <c r="O335" s="63" t="s">
        <v>316</v>
      </c>
      <c r="P335" s="63">
        <f>N335-E335</f>
        <v>7.7000000000000011</v>
      </c>
      <c r="Q335" s="66">
        <f>(N335-E335)/E335</f>
        <v>1.5098039215686279</v>
      </c>
    </row>
    <row r="336" spans="1:17" ht="16" x14ac:dyDescent="0.2">
      <c r="A336" s="64">
        <v>99</v>
      </c>
      <c r="B336" s="64" t="s">
        <v>39</v>
      </c>
      <c r="C336" s="64" t="s">
        <v>228</v>
      </c>
      <c r="D336" s="65" t="s">
        <v>209</v>
      </c>
      <c r="E336" s="64">
        <v>5.3</v>
      </c>
      <c r="F336" s="64">
        <v>5.0999999999999996</v>
      </c>
      <c r="G336" s="64">
        <v>5.0999999999999996</v>
      </c>
      <c r="H336" s="63">
        <v>6.1</v>
      </c>
      <c r="I336" s="63">
        <v>6.9</v>
      </c>
      <c r="J336" s="63">
        <v>6.9</v>
      </c>
      <c r="K336" s="64">
        <v>6.9</v>
      </c>
      <c r="L336" s="63">
        <v>9.6</v>
      </c>
      <c r="M336" s="63">
        <v>10.199999999999999</v>
      </c>
      <c r="N336" s="63">
        <v>10.3</v>
      </c>
      <c r="O336" s="63" t="s">
        <v>316</v>
      </c>
      <c r="P336" s="63">
        <f>N336-E336</f>
        <v>5.0000000000000009</v>
      </c>
      <c r="Q336" s="66">
        <f>(N336-E336)/E336</f>
        <v>0.94339622641509457</v>
      </c>
    </row>
    <row r="337" spans="1:17" ht="16" x14ac:dyDescent="0.2">
      <c r="A337" s="64">
        <v>100</v>
      </c>
      <c r="B337" s="64" t="s">
        <v>39</v>
      </c>
      <c r="C337" s="64" t="s">
        <v>228</v>
      </c>
      <c r="D337" s="65" t="s">
        <v>208</v>
      </c>
      <c r="E337" s="64">
        <v>6.7</v>
      </c>
      <c r="F337" s="64">
        <v>6.1</v>
      </c>
      <c r="G337" s="64">
        <v>6.8</v>
      </c>
      <c r="H337" s="63">
        <v>7.2</v>
      </c>
      <c r="I337" s="63">
        <v>6.9</v>
      </c>
      <c r="J337" s="63">
        <v>8</v>
      </c>
      <c r="K337" s="64">
        <v>8</v>
      </c>
      <c r="L337" s="63">
        <v>13.5</v>
      </c>
      <c r="M337" s="63">
        <v>12.6</v>
      </c>
      <c r="N337" s="63">
        <v>15.4</v>
      </c>
      <c r="O337" s="63" t="s">
        <v>316</v>
      </c>
      <c r="P337" s="63">
        <f>N337-E337</f>
        <v>8.6999999999999993</v>
      </c>
      <c r="Q337" s="66">
        <f>(N337-E337)/E337</f>
        <v>1.2985074626865669</v>
      </c>
    </row>
    <row r="338" spans="1:17" ht="16" x14ac:dyDescent="0.2">
      <c r="A338" s="64">
        <v>101</v>
      </c>
      <c r="B338" s="64" t="s">
        <v>39</v>
      </c>
      <c r="C338" s="64" t="s">
        <v>228</v>
      </c>
      <c r="D338" s="65" t="s">
        <v>207</v>
      </c>
      <c r="E338" s="64">
        <v>5</v>
      </c>
      <c r="F338" s="64">
        <v>5.0999999999999996</v>
      </c>
      <c r="G338" s="64">
        <v>6.4</v>
      </c>
      <c r="H338" s="63">
        <v>7.2</v>
      </c>
      <c r="I338" s="63">
        <v>6.7</v>
      </c>
      <c r="J338" s="63">
        <v>6.9</v>
      </c>
      <c r="K338" s="64">
        <v>6.9</v>
      </c>
      <c r="L338" s="63">
        <v>9.5</v>
      </c>
      <c r="M338" s="63">
        <v>10.1</v>
      </c>
      <c r="N338" s="63">
        <v>10</v>
      </c>
      <c r="O338" s="63" t="s">
        <v>316</v>
      </c>
      <c r="P338" s="63">
        <f>N338-E338</f>
        <v>5</v>
      </c>
      <c r="Q338" s="66">
        <f>(N338-E338)/E338</f>
        <v>1</v>
      </c>
    </row>
    <row r="339" spans="1:17" ht="16" x14ac:dyDescent="0.2">
      <c r="A339" s="64">
        <v>102</v>
      </c>
      <c r="B339" s="64" t="s">
        <v>39</v>
      </c>
      <c r="C339" s="64" t="s">
        <v>228</v>
      </c>
      <c r="D339" s="65" t="s">
        <v>209</v>
      </c>
      <c r="E339" s="64">
        <v>4.7</v>
      </c>
      <c r="F339" s="64">
        <v>5.5</v>
      </c>
      <c r="G339" s="64">
        <v>5.0999999999999996</v>
      </c>
      <c r="H339" s="63">
        <v>5.5</v>
      </c>
      <c r="I339" s="63">
        <v>6.8</v>
      </c>
      <c r="J339" s="63">
        <v>8.6</v>
      </c>
      <c r="K339" s="64">
        <v>8.6</v>
      </c>
      <c r="L339" s="63">
        <v>7.4</v>
      </c>
      <c r="M339" s="63">
        <v>7.8</v>
      </c>
      <c r="N339" s="63">
        <v>8.1999999999999993</v>
      </c>
      <c r="O339" s="63" t="s">
        <v>316</v>
      </c>
      <c r="P339" s="63">
        <f>N339-E339</f>
        <v>3.4999999999999991</v>
      </c>
      <c r="Q339" s="66">
        <f>(N339-E339)/E339</f>
        <v>0.74468085106382953</v>
      </c>
    </row>
    <row r="340" spans="1:17" ht="16" x14ac:dyDescent="0.2">
      <c r="A340" s="64">
        <v>103</v>
      </c>
      <c r="B340" s="64" t="s">
        <v>39</v>
      </c>
      <c r="C340" s="64" t="s">
        <v>228</v>
      </c>
      <c r="D340" s="65" t="s">
        <v>209</v>
      </c>
      <c r="E340" s="64">
        <v>5</v>
      </c>
      <c r="F340" s="64">
        <v>5</v>
      </c>
      <c r="G340" s="64">
        <v>5.4</v>
      </c>
      <c r="H340" s="63">
        <v>6.3</v>
      </c>
      <c r="I340" s="63">
        <v>7.2</v>
      </c>
      <c r="J340" s="63">
        <v>7.3</v>
      </c>
      <c r="K340" s="64">
        <v>7.3</v>
      </c>
      <c r="L340" s="63">
        <v>9.1999999999999993</v>
      </c>
      <c r="M340" s="63">
        <v>8.6999999999999993</v>
      </c>
      <c r="N340" s="63">
        <v>8.4</v>
      </c>
      <c r="O340" s="63" t="s">
        <v>316</v>
      </c>
      <c r="P340" s="63">
        <f>N340-E340</f>
        <v>3.4000000000000004</v>
      </c>
      <c r="Q340" s="66">
        <f>(N340-E340)/E340</f>
        <v>0.68</v>
      </c>
    </row>
    <row r="341" spans="1:17" ht="16" x14ac:dyDescent="0.2">
      <c r="A341" s="64">
        <v>104</v>
      </c>
      <c r="B341" s="64" t="s">
        <v>39</v>
      </c>
      <c r="C341" s="64" t="s">
        <v>228</v>
      </c>
      <c r="D341" s="65" t="s">
        <v>208</v>
      </c>
      <c r="E341" s="64">
        <v>5.6</v>
      </c>
      <c r="F341" s="64">
        <v>6.1</v>
      </c>
      <c r="G341" s="64">
        <v>7</v>
      </c>
      <c r="H341" s="63">
        <v>7.4</v>
      </c>
      <c r="I341" s="63">
        <v>10.1</v>
      </c>
      <c r="J341" s="63">
        <v>10.7</v>
      </c>
      <c r="K341" s="64">
        <v>10.7</v>
      </c>
      <c r="L341" s="63">
        <v>14.6</v>
      </c>
      <c r="M341" s="63">
        <v>14.3</v>
      </c>
      <c r="N341" s="93">
        <v>15.9</v>
      </c>
      <c r="O341" s="63" t="s">
        <v>316</v>
      </c>
      <c r="P341" s="63">
        <f>N341-E341</f>
        <v>10.3</v>
      </c>
      <c r="Q341" s="66">
        <f>(N341-E341)/E341</f>
        <v>1.8392857142857146</v>
      </c>
    </row>
    <row r="342" spans="1:17" ht="16" x14ac:dyDescent="0.2">
      <c r="A342" s="64">
        <v>105</v>
      </c>
      <c r="B342" s="64" t="s">
        <v>39</v>
      </c>
      <c r="C342" s="64" t="s">
        <v>228</v>
      </c>
      <c r="D342" s="65" t="s">
        <v>207</v>
      </c>
      <c r="E342" s="64">
        <v>4.4000000000000004</v>
      </c>
      <c r="F342" s="64">
        <v>3.8</v>
      </c>
      <c r="G342" s="64">
        <v>3.9</v>
      </c>
      <c r="H342" s="63">
        <v>5.7</v>
      </c>
      <c r="I342" s="63">
        <v>7.9</v>
      </c>
      <c r="J342" s="63">
        <v>7</v>
      </c>
      <c r="K342" s="64">
        <v>7</v>
      </c>
      <c r="L342" s="63">
        <v>11</v>
      </c>
      <c r="M342" s="63">
        <v>11.1</v>
      </c>
      <c r="N342" s="63">
        <v>11.9</v>
      </c>
      <c r="O342" s="63" t="s">
        <v>316</v>
      </c>
      <c r="P342" s="63">
        <f>N342-E342</f>
        <v>7.5</v>
      </c>
      <c r="Q342" s="66">
        <f>(N342-E342)/E342</f>
        <v>1.7045454545454544</v>
      </c>
    </row>
    <row r="343" spans="1:17" ht="16" x14ac:dyDescent="0.2">
      <c r="A343" s="64">
        <v>106</v>
      </c>
      <c r="B343" s="64" t="s">
        <v>39</v>
      </c>
      <c r="C343" s="64" t="s">
        <v>228</v>
      </c>
      <c r="D343" s="65" t="s">
        <v>209</v>
      </c>
      <c r="E343" s="64">
        <v>5.9</v>
      </c>
      <c r="F343" s="64">
        <v>4.7</v>
      </c>
      <c r="G343" s="64">
        <v>4.0999999999999996</v>
      </c>
      <c r="H343" s="63">
        <v>4.2</v>
      </c>
      <c r="I343" s="63">
        <v>0</v>
      </c>
      <c r="J343" s="63">
        <v>0</v>
      </c>
      <c r="K343" s="64">
        <v>0</v>
      </c>
      <c r="L343" s="63">
        <v>0</v>
      </c>
      <c r="M343" s="63">
        <v>0</v>
      </c>
      <c r="N343" s="63">
        <v>0</v>
      </c>
      <c r="O343" s="63" t="s">
        <v>305</v>
      </c>
      <c r="P343" s="63">
        <f>N343-E343</f>
        <v>-5.9</v>
      </c>
      <c r="Q343" s="66">
        <f>(N343-E343)/E343</f>
        <v>-1</v>
      </c>
    </row>
    <row r="344" spans="1:17" ht="16" x14ac:dyDescent="0.2">
      <c r="A344" s="64">
        <v>107</v>
      </c>
      <c r="B344" s="64" t="s">
        <v>39</v>
      </c>
      <c r="C344" s="64" t="s">
        <v>228</v>
      </c>
      <c r="D344" s="65" t="s">
        <v>208</v>
      </c>
      <c r="E344" s="64">
        <v>7.6</v>
      </c>
      <c r="F344" s="64">
        <v>6.6</v>
      </c>
      <c r="G344" s="64">
        <v>7.9</v>
      </c>
      <c r="H344" s="63">
        <v>10.1</v>
      </c>
      <c r="I344" s="63">
        <v>9.9</v>
      </c>
      <c r="J344" s="63">
        <v>10.199999999999999</v>
      </c>
      <c r="K344" s="64">
        <v>10.199999999999999</v>
      </c>
      <c r="L344" s="63">
        <v>16.399999999999999</v>
      </c>
      <c r="M344" s="63">
        <v>18.600000000000001</v>
      </c>
      <c r="N344" s="63">
        <v>20.2</v>
      </c>
      <c r="O344" s="63" t="s">
        <v>316</v>
      </c>
      <c r="P344" s="63">
        <f>N344-E344</f>
        <v>12.6</v>
      </c>
      <c r="Q344" s="66">
        <f>(N344-E344)/E344</f>
        <v>1.6578947368421053</v>
      </c>
    </row>
    <row r="345" spans="1:17" ht="16" x14ac:dyDescent="0.2">
      <c r="A345" s="64">
        <v>108</v>
      </c>
      <c r="B345" s="64" t="s">
        <v>39</v>
      </c>
      <c r="C345" s="64" t="s">
        <v>228</v>
      </c>
      <c r="D345" s="65" t="s">
        <v>207</v>
      </c>
      <c r="E345" s="64">
        <v>5.4</v>
      </c>
      <c r="F345" s="64">
        <v>5.3</v>
      </c>
      <c r="G345" s="64">
        <v>6</v>
      </c>
      <c r="H345" s="63">
        <v>6.7</v>
      </c>
      <c r="I345" s="63">
        <v>7.1</v>
      </c>
      <c r="J345" s="63">
        <v>8</v>
      </c>
      <c r="K345" s="64">
        <v>8</v>
      </c>
      <c r="L345" s="63">
        <v>10.6</v>
      </c>
      <c r="M345" s="63">
        <v>12.1</v>
      </c>
      <c r="N345" s="63">
        <v>12.5</v>
      </c>
      <c r="O345" s="63" t="s">
        <v>316</v>
      </c>
      <c r="P345" s="63">
        <f>N345-E345</f>
        <v>7.1</v>
      </c>
      <c r="Q345" s="66">
        <f>(N345-E345)/E345</f>
        <v>1.3148148148148147</v>
      </c>
    </row>
    <row r="346" spans="1:17" ht="16" x14ac:dyDescent="0.2">
      <c r="A346" s="64">
        <v>181</v>
      </c>
      <c r="B346" s="64" t="s">
        <v>43</v>
      </c>
      <c r="C346" s="64" t="s">
        <v>228</v>
      </c>
      <c r="D346" s="65" t="s">
        <v>208</v>
      </c>
      <c r="E346" s="64">
        <v>7.6</v>
      </c>
      <c r="F346" s="64">
        <v>8.1999999999999993</v>
      </c>
      <c r="G346" s="64">
        <v>8.6999999999999993</v>
      </c>
      <c r="H346" s="63">
        <v>9.4</v>
      </c>
      <c r="I346" s="63">
        <v>10.7</v>
      </c>
      <c r="J346" s="63">
        <v>10</v>
      </c>
      <c r="K346" s="63">
        <v>13.8</v>
      </c>
      <c r="L346" s="63">
        <v>15.1</v>
      </c>
      <c r="M346" s="63">
        <v>15.6</v>
      </c>
      <c r="N346" s="63">
        <v>17.3</v>
      </c>
      <c r="O346" s="63" t="s">
        <v>316</v>
      </c>
      <c r="P346" s="63">
        <f>N346-E346</f>
        <v>9.7000000000000011</v>
      </c>
      <c r="Q346" s="66">
        <f>(N346-E346)/E346</f>
        <v>1.2763157894736845</v>
      </c>
    </row>
    <row r="347" spans="1:17" ht="16" x14ac:dyDescent="0.2">
      <c r="A347" s="64">
        <v>182</v>
      </c>
      <c r="B347" s="64" t="s">
        <v>43</v>
      </c>
      <c r="C347" s="64" t="s">
        <v>228</v>
      </c>
      <c r="D347" s="65" t="s">
        <v>207</v>
      </c>
      <c r="E347" s="64">
        <v>7.4</v>
      </c>
      <c r="F347" s="64">
        <v>7.8</v>
      </c>
      <c r="G347" s="64">
        <v>8.1999999999999993</v>
      </c>
      <c r="H347" s="63">
        <v>7.6</v>
      </c>
      <c r="I347" s="63">
        <v>9.1999999999999993</v>
      </c>
      <c r="J347" s="63">
        <v>9.9</v>
      </c>
      <c r="K347" s="63">
        <v>9.6999999999999993</v>
      </c>
      <c r="L347" s="63">
        <v>12.4</v>
      </c>
      <c r="M347" s="63">
        <v>13.9</v>
      </c>
      <c r="N347" s="63">
        <v>13.8</v>
      </c>
      <c r="O347" s="63" t="s">
        <v>316</v>
      </c>
      <c r="P347" s="63">
        <f>N347-E347</f>
        <v>6.4</v>
      </c>
      <c r="Q347" s="66">
        <f>(N347-E347)/E347</f>
        <v>0.86486486486486491</v>
      </c>
    </row>
    <row r="348" spans="1:17" ht="16" x14ac:dyDescent="0.2">
      <c r="A348" s="64">
        <v>183</v>
      </c>
      <c r="B348" s="64" t="s">
        <v>43</v>
      </c>
      <c r="C348" s="64" t="s">
        <v>228</v>
      </c>
      <c r="D348" s="65" t="s">
        <v>209</v>
      </c>
      <c r="E348" s="64">
        <v>5.6</v>
      </c>
      <c r="F348" s="64">
        <v>5.6</v>
      </c>
      <c r="G348" s="64">
        <v>6</v>
      </c>
      <c r="H348" s="63">
        <v>6.1</v>
      </c>
      <c r="I348" s="63">
        <v>6.7</v>
      </c>
      <c r="J348" s="63">
        <v>7.9</v>
      </c>
      <c r="K348" s="63">
        <v>10.1</v>
      </c>
      <c r="L348" s="63">
        <v>10.9</v>
      </c>
      <c r="M348" s="63">
        <v>11.5</v>
      </c>
      <c r="N348" s="63">
        <v>12.1</v>
      </c>
      <c r="O348" s="63" t="s">
        <v>316</v>
      </c>
      <c r="P348" s="63">
        <f>N348-E348</f>
        <v>6.5</v>
      </c>
      <c r="Q348" s="66">
        <f>(N348-E348)/E348</f>
        <v>1.1607142857142858</v>
      </c>
    </row>
    <row r="349" spans="1:17" ht="16" x14ac:dyDescent="0.2">
      <c r="A349" s="64">
        <v>184</v>
      </c>
      <c r="B349" s="64" t="s">
        <v>43</v>
      </c>
      <c r="C349" s="64" t="s">
        <v>228</v>
      </c>
      <c r="D349" s="65" t="s">
        <v>208</v>
      </c>
      <c r="E349" s="64">
        <v>11.1</v>
      </c>
      <c r="F349" s="64">
        <v>11.6</v>
      </c>
      <c r="G349" s="64">
        <v>12.5</v>
      </c>
      <c r="H349" s="63">
        <v>11.8</v>
      </c>
      <c r="I349" s="63">
        <v>12.7</v>
      </c>
      <c r="J349" s="63">
        <v>14.2</v>
      </c>
      <c r="K349" s="63">
        <v>17</v>
      </c>
      <c r="L349" s="63">
        <v>18.8</v>
      </c>
      <c r="M349" s="63">
        <v>19.899999999999999</v>
      </c>
      <c r="N349" s="63">
        <v>21</v>
      </c>
      <c r="O349" s="63" t="s">
        <v>316</v>
      </c>
      <c r="P349" s="63">
        <f>N349-E349</f>
        <v>9.9</v>
      </c>
      <c r="Q349" s="66">
        <f>(N349-E349)/E349</f>
        <v>0.891891891891892</v>
      </c>
    </row>
    <row r="350" spans="1:17" ht="16" x14ac:dyDescent="0.2">
      <c r="A350" s="64">
        <v>185</v>
      </c>
      <c r="B350" s="64" t="s">
        <v>43</v>
      </c>
      <c r="C350" s="64" t="s">
        <v>228</v>
      </c>
      <c r="D350" s="65" t="s">
        <v>207</v>
      </c>
      <c r="E350" s="64">
        <v>4.5999999999999996</v>
      </c>
      <c r="F350" s="64">
        <v>5.4</v>
      </c>
      <c r="G350" s="64">
        <v>7.6</v>
      </c>
      <c r="H350" s="63">
        <v>6.2</v>
      </c>
      <c r="I350" s="63">
        <v>6.8</v>
      </c>
      <c r="J350" s="63">
        <v>8</v>
      </c>
      <c r="K350" s="63">
        <v>9.8000000000000007</v>
      </c>
      <c r="L350" s="63">
        <v>13.2</v>
      </c>
      <c r="M350" s="63">
        <v>12.7</v>
      </c>
      <c r="N350" s="63">
        <v>13.8</v>
      </c>
      <c r="O350" s="63" t="s">
        <v>316</v>
      </c>
      <c r="P350" s="63">
        <f>N350-E350</f>
        <v>9.2000000000000011</v>
      </c>
      <c r="Q350" s="66">
        <f>(N350-E350)/E350</f>
        <v>2.0000000000000004</v>
      </c>
    </row>
    <row r="351" spans="1:17" ht="16" x14ac:dyDescent="0.2">
      <c r="A351" s="64">
        <v>186</v>
      </c>
      <c r="B351" s="64" t="s">
        <v>43</v>
      </c>
      <c r="C351" s="64" t="s">
        <v>228</v>
      </c>
      <c r="D351" s="65" t="s">
        <v>209</v>
      </c>
      <c r="E351" s="64">
        <v>5.9</v>
      </c>
      <c r="F351" s="64">
        <v>5.7</v>
      </c>
      <c r="G351" s="64">
        <v>5.7</v>
      </c>
      <c r="H351" s="63">
        <v>6</v>
      </c>
      <c r="I351" s="63">
        <v>6.4</v>
      </c>
      <c r="J351" s="63">
        <v>6.4</v>
      </c>
      <c r="K351" s="63">
        <v>7.4</v>
      </c>
      <c r="L351" s="63">
        <v>8.4</v>
      </c>
      <c r="M351" s="63">
        <v>9.6</v>
      </c>
      <c r="N351" s="63">
        <v>10.1</v>
      </c>
      <c r="O351" s="63" t="s">
        <v>316</v>
      </c>
      <c r="P351" s="63">
        <f>N351-E351</f>
        <v>4.1999999999999993</v>
      </c>
      <c r="Q351" s="66">
        <f>(N351-E351)/E351</f>
        <v>0.7118644067796609</v>
      </c>
    </row>
    <row r="352" spans="1:17" ht="16" x14ac:dyDescent="0.2">
      <c r="A352" s="64">
        <v>187</v>
      </c>
      <c r="B352" s="64" t="s">
        <v>43</v>
      </c>
      <c r="C352" s="64" t="s">
        <v>228</v>
      </c>
      <c r="D352" s="65" t="s">
        <v>209</v>
      </c>
      <c r="E352" s="64">
        <v>6.2</v>
      </c>
      <c r="F352" s="64">
        <v>6.6</v>
      </c>
      <c r="G352" s="64">
        <v>6.3</v>
      </c>
      <c r="H352" s="63">
        <v>7.2</v>
      </c>
      <c r="I352" s="63">
        <v>8.1999999999999993</v>
      </c>
      <c r="J352" s="63">
        <v>7.8</v>
      </c>
      <c r="K352" s="63">
        <v>9.6</v>
      </c>
      <c r="L352" s="63">
        <v>10.6</v>
      </c>
      <c r="M352" s="63">
        <v>11.3</v>
      </c>
      <c r="N352" s="63">
        <v>11.5</v>
      </c>
      <c r="O352" s="63" t="s">
        <v>316</v>
      </c>
      <c r="P352" s="63">
        <f>N352-E352</f>
        <v>5.3</v>
      </c>
      <c r="Q352" s="66">
        <f>(N352-E352)/E352</f>
        <v>0.85483870967741926</v>
      </c>
    </row>
    <row r="353" spans="1:17" ht="16" x14ac:dyDescent="0.2">
      <c r="A353" s="64">
        <v>188</v>
      </c>
      <c r="B353" s="64" t="s">
        <v>43</v>
      </c>
      <c r="C353" s="64" t="s">
        <v>228</v>
      </c>
      <c r="D353" s="65" t="s">
        <v>208</v>
      </c>
      <c r="E353" s="64">
        <v>5.9</v>
      </c>
      <c r="F353" s="64">
        <v>7.2</v>
      </c>
      <c r="G353" s="64">
        <v>7.2</v>
      </c>
      <c r="H353" s="63">
        <v>8.6</v>
      </c>
      <c r="I353" s="63">
        <v>10.8</v>
      </c>
      <c r="J353" s="63">
        <v>10.7</v>
      </c>
      <c r="K353" s="63">
        <v>13.7</v>
      </c>
      <c r="L353" s="63">
        <v>16.899999999999999</v>
      </c>
      <c r="M353" s="63">
        <v>16.399999999999999</v>
      </c>
      <c r="N353" s="63">
        <v>17.7</v>
      </c>
      <c r="O353" s="63" t="s">
        <v>316</v>
      </c>
      <c r="P353" s="63">
        <f>N353-E353</f>
        <v>11.799999999999999</v>
      </c>
      <c r="Q353" s="66">
        <f>(N353-E353)/E353</f>
        <v>1.9999999999999998</v>
      </c>
    </row>
    <row r="354" spans="1:17" ht="16" x14ac:dyDescent="0.2">
      <c r="A354" s="64">
        <v>189</v>
      </c>
      <c r="B354" s="64" t="s">
        <v>43</v>
      </c>
      <c r="C354" s="64" t="s">
        <v>228</v>
      </c>
      <c r="D354" s="65" t="s">
        <v>207</v>
      </c>
      <c r="E354" s="64">
        <v>5.4</v>
      </c>
      <c r="F354" s="64">
        <v>5.0999999999999996</v>
      </c>
      <c r="G354" s="64">
        <v>5.6</v>
      </c>
      <c r="H354" s="63">
        <v>6.7</v>
      </c>
      <c r="I354" s="63">
        <v>8.8000000000000007</v>
      </c>
      <c r="J354" s="63">
        <v>9.3000000000000007</v>
      </c>
      <c r="K354" s="63">
        <v>11.4</v>
      </c>
      <c r="L354" s="63">
        <v>13.8</v>
      </c>
      <c r="M354" s="63">
        <v>14</v>
      </c>
      <c r="N354" s="63">
        <v>15.6</v>
      </c>
      <c r="O354" s="63" t="s">
        <v>316</v>
      </c>
      <c r="P354" s="63">
        <f>N354-E354</f>
        <v>10.199999999999999</v>
      </c>
      <c r="Q354" s="66">
        <f>(N354-E354)/E354</f>
        <v>1.8888888888888886</v>
      </c>
    </row>
    <row r="355" spans="1:17" ht="16" x14ac:dyDescent="0.2">
      <c r="A355" s="64">
        <v>190</v>
      </c>
      <c r="B355" s="64" t="s">
        <v>43</v>
      </c>
      <c r="C355" s="64" t="s">
        <v>228</v>
      </c>
      <c r="D355" s="65" t="s">
        <v>209</v>
      </c>
      <c r="E355" s="64">
        <v>5.9</v>
      </c>
      <c r="F355" s="64">
        <v>5.6</v>
      </c>
      <c r="G355" s="64">
        <v>5.5</v>
      </c>
      <c r="H355" s="63">
        <v>6.2</v>
      </c>
      <c r="I355" s="63">
        <v>7.1</v>
      </c>
      <c r="J355" s="63">
        <v>6.9</v>
      </c>
      <c r="K355" s="63">
        <v>9.1999999999999993</v>
      </c>
      <c r="L355" s="63">
        <v>9.6999999999999993</v>
      </c>
      <c r="M355" s="63">
        <v>10.6</v>
      </c>
      <c r="N355" s="63">
        <v>10.8</v>
      </c>
      <c r="O355" s="63" t="s">
        <v>316</v>
      </c>
      <c r="P355" s="63">
        <f>N355-E355</f>
        <v>4.9000000000000004</v>
      </c>
      <c r="Q355" s="66">
        <f>(N355-E355)/E355</f>
        <v>0.83050847457627119</v>
      </c>
    </row>
    <row r="356" spans="1:17" ht="16" x14ac:dyDescent="0.2">
      <c r="A356" s="64">
        <v>191</v>
      </c>
      <c r="B356" s="64" t="s">
        <v>43</v>
      </c>
      <c r="C356" s="64" t="s">
        <v>228</v>
      </c>
      <c r="D356" s="65" t="s">
        <v>208</v>
      </c>
      <c r="E356" s="64">
        <v>5.9</v>
      </c>
      <c r="F356" s="64">
        <v>6.5</v>
      </c>
      <c r="G356" s="64">
        <v>7.3</v>
      </c>
      <c r="H356" s="63">
        <v>8.1</v>
      </c>
      <c r="I356" s="63">
        <v>10.3</v>
      </c>
      <c r="J356" s="63">
        <v>11.2</v>
      </c>
      <c r="K356" s="63">
        <v>14.6</v>
      </c>
      <c r="L356" s="63">
        <v>18.399999999999999</v>
      </c>
      <c r="M356" s="63">
        <v>18.3</v>
      </c>
      <c r="N356" s="63">
        <v>23.5</v>
      </c>
      <c r="O356" s="63" t="s">
        <v>316</v>
      </c>
      <c r="P356" s="63">
        <f>N356-E356</f>
        <v>17.600000000000001</v>
      </c>
      <c r="Q356" s="66">
        <f>(N356-E356)/E356</f>
        <v>2.9830508474576272</v>
      </c>
    </row>
    <row r="357" spans="1:17" ht="16" x14ac:dyDescent="0.2">
      <c r="A357" s="64">
        <v>192</v>
      </c>
      <c r="B357" s="64" t="s">
        <v>43</v>
      </c>
      <c r="C357" s="64" t="s">
        <v>228</v>
      </c>
      <c r="D357" s="65" t="s">
        <v>207</v>
      </c>
      <c r="E357" s="64">
        <v>4.0999999999999996</v>
      </c>
      <c r="F357" s="64">
        <v>5</v>
      </c>
      <c r="G357" s="64">
        <v>3.4</v>
      </c>
      <c r="H357" s="63">
        <v>5.2</v>
      </c>
      <c r="I357" s="63">
        <v>6.6</v>
      </c>
      <c r="J357" s="63">
        <v>8</v>
      </c>
      <c r="K357" s="63">
        <v>9.4</v>
      </c>
      <c r="L357" s="63">
        <v>11.9</v>
      </c>
      <c r="M357" s="63">
        <v>12.5</v>
      </c>
      <c r="N357" s="63">
        <v>14.3</v>
      </c>
      <c r="O357" s="63" t="s">
        <v>316</v>
      </c>
      <c r="P357" s="63">
        <f>N357-E357</f>
        <v>10.200000000000001</v>
      </c>
      <c r="Q357" s="66">
        <f>(N357-E357)/E357</f>
        <v>2.4878048780487809</v>
      </c>
    </row>
    <row r="358" spans="1:17" ht="16" x14ac:dyDescent="0.2">
      <c r="A358" s="64">
        <v>193</v>
      </c>
      <c r="B358" s="64" t="s">
        <v>43</v>
      </c>
      <c r="C358" s="64" t="s">
        <v>228</v>
      </c>
      <c r="D358" s="65" t="s">
        <v>209</v>
      </c>
      <c r="E358" s="64">
        <v>5.6</v>
      </c>
      <c r="F358" s="64">
        <v>4.9000000000000004</v>
      </c>
      <c r="G358" s="64">
        <v>5.4</v>
      </c>
      <c r="H358" s="63">
        <v>6</v>
      </c>
      <c r="I358" s="63">
        <v>6.9</v>
      </c>
      <c r="J358" s="63">
        <v>7</v>
      </c>
      <c r="K358" s="63">
        <v>9.4</v>
      </c>
      <c r="L358" s="63">
        <v>10.199999999999999</v>
      </c>
      <c r="M358" s="63">
        <v>12.1</v>
      </c>
      <c r="N358" s="63">
        <v>11.2</v>
      </c>
      <c r="O358" s="63" t="s">
        <v>316</v>
      </c>
      <c r="P358" s="63">
        <f>N358-E358</f>
        <v>5.6</v>
      </c>
      <c r="Q358" s="66">
        <f>(N358-E358)/E358</f>
        <v>1</v>
      </c>
    </row>
    <row r="359" spans="1:17" ht="16" x14ac:dyDescent="0.2">
      <c r="A359" s="64">
        <v>194</v>
      </c>
      <c r="B359" s="64" t="s">
        <v>43</v>
      </c>
      <c r="C359" s="64" t="s">
        <v>228</v>
      </c>
      <c r="D359" s="65" t="s">
        <v>208</v>
      </c>
      <c r="E359" s="64">
        <v>7.7</v>
      </c>
      <c r="F359" s="64">
        <v>7</v>
      </c>
      <c r="G359" s="64">
        <v>8.8000000000000007</v>
      </c>
      <c r="H359" s="63">
        <v>9.9</v>
      </c>
      <c r="I359" s="63">
        <v>13.5</v>
      </c>
      <c r="J359" s="63">
        <v>17.2</v>
      </c>
      <c r="K359" s="63">
        <v>22.4</v>
      </c>
      <c r="L359" s="63">
        <v>10.4</v>
      </c>
      <c r="M359" s="63">
        <v>11.6</v>
      </c>
      <c r="N359" s="63">
        <v>13.1</v>
      </c>
      <c r="O359" s="63" t="s">
        <v>316</v>
      </c>
      <c r="P359" s="63">
        <f>N359-E359</f>
        <v>5.3999999999999995</v>
      </c>
      <c r="Q359" s="66">
        <f>(N359-E359)/E359</f>
        <v>0.7012987012987012</v>
      </c>
    </row>
    <row r="360" spans="1:17" ht="16" x14ac:dyDescent="0.2">
      <c r="A360" s="64">
        <v>195</v>
      </c>
      <c r="B360" s="64" t="s">
        <v>43</v>
      </c>
      <c r="C360" s="64" t="s">
        <v>228</v>
      </c>
      <c r="D360" s="65" t="s">
        <v>207</v>
      </c>
      <c r="E360" s="64">
        <v>4.0999999999999996</v>
      </c>
      <c r="F360" s="64">
        <v>3.9</v>
      </c>
      <c r="G360" s="64">
        <v>4</v>
      </c>
      <c r="H360" s="63">
        <v>5</v>
      </c>
      <c r="I360" s="63">
        <v>6.5</v>
      </c>
      <c r="J360" s="63">
        <v>7.4</v>
      </c>
      <c r="K360" s="63">
        <v>6.1</v>
      </c>
      <c r="L360" s="63">
        <v>11.4</v>
      </c>
      <c r="M360" s="63">
        <v>10.5</v>
      </c>
      <c r="N360" s="63">
        <v>11.7</v>
      </c>
      <c r="O360" s="63" t="s">
        <v>316</v>
      </c>
      <c r="P360" s="63">
        <f>N360-E360</f>
        <v>7.6</v>
      </c>
      <c r="Q360" s="66">
        <f>(N360-E360)/E360</f>
        <v>1.8536585365853659</v>
      </c>
    </row>
    <row r="361" spans="1:17" ht="16" x14ac:dyDescent="0.2">
      <c r="A361" s="64">
        <v>196</v>
      </c>
      <c r="B361" s="64" t="s">
        <v>43</v>
      </c>
      <c r="C361" s="64" t="s">
        <v>228</v>
      </c>
      <c r="D361" s="65" t="s">
        <v>209</v>
      </c>
      <c r="E361" s="64">
        <v>6.7</v>
      </c>
      <c r="F361" s="64">
        <v>5.6</v>
      </c>
      <c r="G361" s="64">
        <v>6.3</v>
      </c>
      <c r="H361" s="63">
        <v>5.9</v>
      </c>
      <c r="I361" s="63">
        <v>6.8</v>
      </c>
      <c r="J361" s="63">
        <v>7.1</v>
      </c>
      <c r="K361" s="63">
        <v>7.1</v>
      </c>
      <c r="L361" s="63">
        <v>8.6</v>
      </c>
      <c r="M361" s="63">
        <v>9.3000000000000007</v>
      </c>
      <c r="N361" s="63">
        <v>10.7</v>
      </c>
      <c r="O361" s="63" t="s">
        <v>316</v>
      </c>
      <c r="P361" s="63">
        <f>N361-E361</f>
        <v>3.9999999999999991</v>
      </c>
      <c r="Q361" s="66">
        <f>(N361-E361)/E361</f>
        <v>0.59701492537313416</v>
      </c>
    </row>
    <row r="362" spans="1:17" ht="16" x14ac:dyDescent="0.2">
      <c r="A362" s="64">
        <v>197</v>
      </c>
      <c r="B362" s="64" t="s">
        <v>43</v>
      </c>
      <c r="C362" s="64" t="s">
        <v>228</v>
      </c>
      <c r="D362" s="65" t="s">
        <v>208</v>
      </c>
      <c r="E362" s="64">
        <v>5.6</v>
      </c>
      <c r="F362" s="64">
        <v>5.3</v>
      </c>
      <c r="G362" s="64">
        <v>5.9</v>
      </c>
      <c r="H362" s="63">
        <v>5.9</v>
      </c>
      <c r="I362" s="63">
        <v>7.1</v>
      </c>
      <c r="J362" s="63">
        <v>7.4</v>
      </c>
      <c r="K362" s="63">
        <v>9.4</v>
      </c>
      <c r="L362" s="63">
        <v>14.1</v>
      </c>
      <c r="M362" s="63">
        <v>15.7</v>
      </c>
      <c r="N362" s="63">
        <v>16.3</v>
      </c>
      <c r="O362" s="63" t="s">
        <v>316</v>
      </c>
      <c r="P362" s="63">
        <f>N362-E362</f>
        <v>10.700000000000001</v>
      </c>
      <c r="Q362" s="66">
        <f>(N362-E362)/E362</f>
        <v>1.910714285714286</v>
      </c>
    </row>
    <row r="363" spans="1:17" ht="16" x14ac:dyDescent="0.2">
      <c r="A363" s="64">
        <v>198</v>
      </c>
      <c r="B363" s="64" t="s">
        <v>43</v>
      </c>
      <c r="C363" s="64" t="s">
        <v>228</v>
      </c>
      <c r="D363" s="65" t="s">
        <v>207</v>
      </c>
      <c r="E363" s="64">
        <v>4.0999999999999996</v>
      </c>
      <c r="F363" s="64">
        <v>5</v>
      </c>
      <c r="G363" s="64">
        <v>5</v>
      </c>
      <c r="H363" s="63">
        <v>6</v>
      </c>
      <c r="I363" s="63">
        <v>8.5</v>
      </c>
      <c r="J363" s="63">
        <v>8</v>
      </c>
      <c r="K363" s="63">
        <v>10.8</v>
      </c>
      <c r="L363" s="63">
        <v>13.2</v>
      </c>
      <c r="M363" s="63">
        <v>14</v>
      </c>
      <c r="N363" s="63">
        <v>13.3</v>
      </c>
      <c r="O363" s="63" t="s">
        <v>316</v>
      </c>
      <c r="P363" s="63">
        <f>N363-E363</f>
        <v>9.2000000000000011</v>
      </c>
      <c r="Q363" s="66">
        <f>(N363-E363)/E363</f>
        <v>2.2439024390243909</v>
      </c>
    </row>
    <row r="364" spans="1:17" ht="16" x14ac:dyDescent="0.2">
      <c r="A364" s="64">
        <v>199</v>
      </c>
      <c r="B364" s="64" t="s">
        <v>44</v>
      </c>
      <c r="C364" s="64" t="s">
        <v>228</v>
      </c>
      <c r="D364" s="65" t="s">
        <v>208</v>
      </c>
      <c r="E364" s="64">
        <v>4.0999999999999996</v>
      </c>
      <c r="F364" s="64">
        <v>4.8</v>
      </c>
      <c r="G364" s="64">
        <v>4.2</v>
      </c>
      <c r="H364" s="63">
        <v>4.7</v>
      </c>
      <c r="I364" s="63">
        <v>6.1</v>
      </c>
      <c r="J364" s="63">
        <v>6.2</v>
      </c>
      <c r="K364" s="63">
        <v>8.3000000000000007</v>
      </c>
      <c r="L364" s="63">
        <v>11.3</v>
      </c>
      <c r="M364" s="63">
        <v>11.9</v>
      </c>
      <c r="N364" s="63">
        <v>13.6</v>
      </c>
      <c r="O364" s="63" t="s">
        <v>316</v>
      </c>
      <c r="P364" s="63">
        <f>N364-E364</f>
        <v>9.5</v>
      </c>
      <c r="Q364" s="66">
        <f>(N364-E364)/E364</f>
        <v>2.3170731707317076</v>
      </c>
    </row>
    <row r="365" spans="1:17" ht="16" x14ac:dyDescent="0.2">
      <c r="A365" s="64">
        <v>200</v>
      </c>
      <c r="B365" s="64" t="s">
        <v>44</v>
      </c>
      <c r="C365" s="64" t="s">
        <v>228</v>
      </c>
      <c r="D365" s="65" t="s">
        <v>207</v>
      </c>
      <c r="E365" s="64">
        <v>6.9</v>
      </c>
      <c r="F365" s="64">
        <v>7.1</v>
      </c>
      <c r="G365" s="64">
        <v>6.8</v>
      </c>
      <c r="H365" s="63">
        <v>7.3</v>
      </c>
      <c r="I365" s="63">
        <v>8.8000000000000007</v>
      </c>
      <c r="J365" s="63">
        <v>8.9</v>
      </c>
      <c r="K365" s="63">
        <v>10.199999999999999</v>
      </c>
      <c r="L365" s="63">
        <v>12</v>
      </c>
      <c r="M365" s="63">
        <v>11.2</v>
      </c>
      <c r="N365" s="63">
        <v>12.6</v>
      </c>
      <c r="O365" s="63" t="s">
        <v>316</v>
      </c>
      <c r="P365" s="63">
        <f>N365-E365</f>
        <v>5.6999999999999993</v>
      </c>
      <c r="Q365" s="66">
        <f>(N365-E365)/E365</f>
        <v>0.82608695652173902</v>
      </c>
    </row>
    <row r="366" spans="1:17" ht="16" x14ac:dyDescent="0.2">
      <c r="A366" s="64">
        <v>201</v>
      </c>
      <c r="B366" s="64" t="s">
        <v>44</v>
      </c>
      <c r="C366" s="64" t="s">
        <v>228</v>
      </c>
      <c r="D366" s="65" t="s">
        <v>209</v>
      </c>
      <c r="E366" s="64">
        <v>5.8</v>
      </c>
      <c r="F366" s="64">
        <v>6</v>
      </c>
      <c r="G366" s="64">
        <v>5.2</v>
      </c>
      <c r="H366" s="63">
        <v>5.9</v>
      </c>
      <c r="I366" s="63">
        <v>7.5</v>
      </c>
      <c r="J366" s="63">
        <v>7.2</v>
      </c>
      <c r="K366" s="63">
        <v>7.4</v>
      </c>
      <c r="L366" s="63">
        <v>9.1</v>
      </c>
      <c r="M366" s="63">
        <v>10</v>
      </c>
      <c r="N366" s="63">
        <v>10.5</v>
      </c>
      <c r="O366" s="63" t="s">
        <v>316</v>
      </c>
      <c r="P366" s="63">
        <f>N366-E366</f>
        <v>4.7</v>
      </c>
      <c r="Q366" s="66">
        <f>(N366-E366)/E366</f>
        <v>0.81034482758620696</v>
      </c>
    </row>
    <row r="367" spans="1:17" ht="16" x14ac:dyDescent="0.2">
      <c r="A367" s="64">
        <v>202</v>
      </c>
      <c r="B367" s="64" t="s">
        <v>44</v>
      </c>
      <c r="C367" s="64" t="s">
        <v>228</v>
      </c>
      <c r="D367" s="65" t="s">
        <v>208</v>
      </c>
      <c r="E367" s="64">
        <v>6</v>
      </c>
      <c r="F367" s="64">
        <v>6.1</v>
      </c>
      <c r="G367" s="64">
        <v>5.6</v>
      </c>
      <c r="H367" s="63">
        <v>7</v>
      </c>
      <c r="I367" s="63">
        <v>8.9</v>
      </c>
      <c r="J367" s="63">
        <v>9.4</v>
      </c>
      <c r="K367" s="63">
        <v>12.2</v>
      </c>
      <c r="L367" s="63">
        <v>14.9</v>
      </c>
      <c r="M367" s="63">
        <v>15.9</v>
      </c>
      <c r="N367" s="63">
        <v>17.600000000000001</v>
      </c>
      <c r="O367" s="63" t="s">
        <v>316</v>
      </c>
      <c r="P367" s="63">
        <f>N367-E367</f>
        <v>11.600000000000001</v>
      </c>
      <c r="Q367" s="66">
        <f>(N367-E367)/E367</f>
        <v>1.9333333333333336</v>
      </c>
    </row>
    <row r="368" spans="1:17" ht="16" x14ac:dyDescent="0.2">
      <c r="A368" s="64">
        <v>203</v>
      </c>
      <c r="B368" s="64" t="s">
        <v>44</v>
      </c>
      <c r="C368" s="64" t="s">
        <v>228</v>
      </c>
      <c r="D368" s="65" t="s">
        <v>207</v>
      </c>
      <c r="E368" s="64">
        <v>5.0999999999999996</v>
      </c>
      <c r="F368" s="64">
        <v>5.4</v>
      </c>
      <c r="G368" s="64">
        <v>4.4000000000000004</v>
      </c>
      <c r="H368" s="63">
        <v>6</v>
      </c>
      <c r="I368" s="63">
        <v>6.9</v>
      </c>
      <c r="J368" s="63">
        <v>7.5</v>
      </c>
      <c r="K368" s="63">
        <v>6.9</v>
      </c>
      <c r="L368" s="63">
        <v>9.5</v>
      </c>
      <c r="M368" s="63">
        <v>9.8000000000000007</v>
      </c>
      <c r="N368" s="63">
        <v>12.4</v>
      </c>
      <c r="O368" s="63" t="s">
        <v>316</v>
      </c>
      <c r="P368" s="63">
        <f>N368-E368</f>
        <v>7.3000000000000007</v>
      </c>
      <c r="Q368" s="66">
        <f>(N368-E368)/E368</f>
        <v>1.4313725490196081</v>
      </c>
    </row>
    <row r="369" spans="1:17" ht="16" x14ac:dyDescent="0.2">
      <c r="A369" s="64">
        <v>204</v>
      </c>
      <c r="B369" s="64" t="s">
        <v>44</v>
      </c>
      <c r="C369" s="64" t="s">
        <v>228</v>
      </c>
      <c r="D369" s="65" t="s">
        <v>209</v>
      </c>
      <c r="E369" s="64">
        <v>4.9000000000000004</v>
      </c>
      <c r="F369" s="64">
        <v>5.2</v>
      </c>
      <c r="G369" s="64">
        <v>4</v>
      </c>
      <c r="H369" s="63">
        <v>5</v>
      </c>
      <c r="I369" s="63">
        <v>6.5</v>
      </c>
      <c r="J369" s="63">
        <v>6.9</v>
      </c>
      <c r="K369" s="63">
        <v>7.9</v>
      </c>
      <c r="L369" s="63">
        <v>10.7</v>
      </c>
      <c r="M369" s="63">
        <v>9.1</v>
      </c>
      <c r="N369" s="63">
        <v>11.1</v>
      </c>
      <c r="O369" s="63" t="s">
        <v>316</v>
      </c>
      <c r="P369" s="63">
        <f>N369-E369</f>
        <v>6.1999999999999993</v>
      </c>
      <c r="Q369" s="66">
        <f>(N369-E369)/E369</f>
        <v>1.2653061224489794</v>
      </c>
    </row>
    <row r="370" spans="1:17" ht="16" x14ac:dyDescent="0.2">
      <c r="A370" s="64">
        <v>205</v>
      </c>
      <c r="B370" s="64" t="s">
        <v>44</v>
      </c>
      <c r="C370" s="64" t="s">
        <v>228</v>
      </c>
      <c r="D370" s="65" t="s">
        <v>209</v>
      </c>
      <c r="E370" s="64">
        <v>4.5999999999999996</v>
      </c>
      <c r="F370" s="64">
        <v>5.0999999999999996</v>
      </c>
      <c r="G370" s="64">
        <v>5.0999999999999996</v>
      </c>
      <c r="H370" s="63">
        <v>5.6</v>
      </c>
      <c r="I370" s="63">
        <v>7.4</v>
      </c>
      <c r="J370" s="63">
        <v>6.8</v>
      </c>
      <c r="K370" s="63">
        <v>10.5</v>
      </c>
      <c r="L370" s="63">
        <v>10.5</v>
      </c>
      <c r="M370" s="63">
        <v>10.6</v>
      </c>
      <c r="N370" s="63">
        <v>10.9</v>
      </c>
      <c r="O370" s="63" t="s">
        <v>316</v>
      </c>
      <c r="P370" s="63">
        <f>N370-E370</f>
        <v>6.3000000000000007</v>
      </c>
      <c r="Q370" s="66">
        <f>(N370-E370)/E370</f>
        <v>1.3695652173913047</v>
      </c>
    </row>
    <row r="371" spans="1:17" ht="16" x14ac:dyDescent="0.2">
      <c r="A371" s="64">
        <v>206</v>
      </c>
      <c r="B371" s="64" t="s">
        <v>44</v>
      </c>
      <c r="C371" s="64" t="s">
        <v>228</v>
      </c>
      <c r="D371" s="65" t="s">
        <v>207</v>
      </c>
      <c r="E371" s="64">
        <v>6.4</v>
      </c>
      <c r="F371" s="64">
        <v>6.2</v>
      </c>
      <c r="G371" s="64">
        <v>6.8</v>
      </c>
      <c r="H371" s="63">
        <v>6.6</v>
      </c>
      <c r="I371" s="63">
        <v>8.3000000000000007</v>
      </c>
      <c r="J371" s="63">
        <v>7.8</v>
      </c>
      <c r="K371" s="63">
        <v>9.1</v>
      </c>
      <c r="L371" s="63">
        <v>11.9</v>
      </c>
      <c r="M371" s="63">
        <v>11.9</v>
      </c>
      <c r="N371" s="63">
        <v>13.5</v>
      </c>
      <c r="O371" s="63" t="s">
        <v>316</v>
      </c>
      <c r="P371" s="63">
        <f>N371-E371</f>
        <v>7.1</v>
      </c>
      <c r="Q371" s="66">
        <f>(N371-E371)/E371</f>
        <v>1.1093749999999998</v>
      </c>
    </row>
    <row r="372" spans="1:17" ht="16" x14ac:dyDescent="0.2">
      <c r="A372" s="64">
        <v>207</v>
      </c>
      <c r="B372" s="64" t="s">
        <v>44</v>
      </c>
      <c r="C372" s="64" t="s">
        <v>228</v>
      </c>
      <c r="D372" s="65" t="s">
        <v>208</v>
      </c>
      <c r="E372" s="64">
        <v>5.0999999999999996</v>
      </c>
      <c r="F372" s="64">
        <v>5.8</v>
      </c>
      <c r="G372" s="64">
        <v>6.7</v>
      </c>
      <c r="H372" s="63">
        <v>8</v>
      </c>
      <c r="I372" s="63">
        <v>11</v>
      </c>
      <c r="J372" s="63">
        <v>14.5</v>
      </c>
      <c r="K372" s="63">
        <v>6.3</v>
      </c>
      <c r="L372" s="63">
        <v>7.1</v>
      </c>
      <c r="M372" s="63">
        <v>9</v>
      </c>
      <c r="N372" s="63">
        <v>11.9</v>
      </c>
      <c r="O372" s="63" t="s">
        <v>316</v>
      </c>
      <c r="P372" s="63">
        <f>N372-E372</f>
        <v>6.8000000000000007</v>
      </c>
      <c r="Q372" s="66">
        <f>(N372-E372)/E372</f>
        <v>1.3333333333333335</v>
      </c>
    </row>
    <row r="373" spans="1:17" ht="16" x14ac:dyDescent="0.2">
      <c r="A373" s="64">
        <v>208</v>
      </c>
      <c r="B373" s="64" t="s">
        <v>44</v>
      </c>
      <c r="C373" s="64" t="s">
        <v>228</v>
      </c>
      <c r="D373" s="65" t="s">
        <v>209</v>
      </c>
      <c r="E373" s="64">
        <v>5.2</v>
      </c>
      <c r="F373" s="64">
        <v>5</v>
      </c>
      <c r="G373" s="64">
        <v>5.5</v>
      </c>
      <c r="H373" s="63">
        <v>6.1</v>
      </c>
      <c r="I373" s="63">
        <v>7.8</v>
      </c>
      <c r="J373" s="63">
        <v>7.9</v>
      </c>
      <c r="K373" s="63">
        <v>9.4</v>
      </c>
      <c r="L373" s="63">
        <v>10.7</v>
      </c>
      <c r="M373" s="63">
        <v>11.7</v>
      </c>
      <c r="N373" s="63">
        <v>12</v>
      </c>
      <c r="O373" s="63" t="s">
        <v>316</v>
      </c>
      <c r="P373" s="63">
        <f>N373-E373</f>
        <v>6.8</v>
      </c>
      <c r="Q373" s="66">
        <f>(N373-E373)/E373</f>
        <v>1.3076923076923077</v>
      </c>
    </row>
    <row r="374" spans="1:17" ht="16" x14ac:dyDescent="0.2">
      <c r="A374" s="64">
        <v>209</v>
      </c>
      <c r="B374" s="64" t="s">
        <v>44</v>
      </c>
      <c r="C374" s="64" t="s">
        <v>228</v>
      </c>
      <c r="D374" s="65" t="s">
        <v>207</v>
      </c>
      <c r="E374" s="64">
        <v>5</v>
      </c>
      <c r="F374" s="64">
        <v>5.0999999999999996</v>
      </c>
      <c r="G374" s="64">
        <v>6</v>
      </c>
      <c r="H374" s="63">
        <v>6.2</v>
      </c>
      <c r="I374" s="63">
        <v>7.1</v>
      </c>
      <c r="J374" s="63">
        <v>7.9</v>
      </c>
      <c r="K374" s="63">
        <v>10</v>
      </c>
      <c r="L374" s="63">
        <v>11.7</v>
      </c>
      <c r="M374" s="63">
        <v>11.9</v>
      </c>
      <c r="N374" s="63">
        <v>14.2</v>
      </c>
      <c r="O374" s="63" t="s">
        <v>316</v>
      </c>
      <c r="P374" s="63">
        <f>N374-E374</f>
        <v>9.1999999999999993</v>
      </c>
      <c r="Q374" s="66">
        <f>(N374-E374)/E374</f>
        <v>1.8399999999999999</v>
      </c>
    </row>
    <row r="375" spans="1:17" ht="16" x14ac:dyDescent="0.2">
      <c r="A375" s="64">
        <v>210</v>
      </c>
      <c r="B375" s="64" t="s">
        <v>44</v>
      </c>
      <c r="C375" s="64" t="s">
        <v>228</v>
      </c>
      <c r="D375" s="65" t="s">
        <v>208</v>
      </c>
      <c r="E375" s="64">
        <v>5</v>
      </c>
      <c r="F375" s="64">
        <v>5.3</v>
      </c>
      <c r="G375" s="64">
        <v>5.8</v>
      </c>
      <c r="H375" s="63">
        <v>6.1</v>
      </c>
      <c r="I375" s="63">
        <v>8</v>
      </c>
      <c r="J375" s="63">
        <v>10.1</v>
      </c>
      <c r="K375" s="63">
        <v>13.5</v>
      </c>
      <c r="L375" s="63">
        <v>16.3</v>
      </c>
      <c r="M375" s="63">
        <v>15.6</v>
      </c>
      <c r="N375" s="63">
        <v>20.3</v>
      </c>
      <c r="O375" s="63" t="s">
        <v>316</v>
      </c>
      <c r="P375" s="63">
        <f>N375-E375</f>
        <v>15.3</v>
      </c>
      <c r="Q375" s="66">
        <f>(N375-E375)/E375</f>
        <v>3.06</v>
      </c>
    </row>
    <row r="376" spans="1:17" ht="16" x14ac:dyDescent="0.2">
      <c r="A376" s="64">
        <v>211</v>
      </c>
      <c r="B376" s="64" t="s">
        <v>44</v>
      </c>
      <c r="C376" s="64" t="s">
        <v>228</v>
      </c>
      <c r="D376" s="65" t="s">
        <v>209</v>
      </c>
      <c r="E376" s="64">
        <v>6</v>
      </c>
      <c r="F376" s="64">
        <v>6</v>
      </c>
      <c r="G376" s="64">
        <v>6.1</v>
      </c>
      <c r="H376" s="63">
        <v>6.9</v>
      </c>
      <c r="I376" s="63">
        <v>7.6</v>
      </c>
      <c r="J376" s="63">
        <v>7.8</v>
      </c>
      <c r="K376" s="63">
        <v>9.3000000000000007</v>
      </c>
      <c r="L376" s="63">
        <v>11.9</v>
      </c>
      <c r="M376" s="63">
        <v>10.7</v>
      </c>
      <c r="N376" s="63">
        <v>11.1</v>
      </c>
      <c r="O376" s="63" t="s">
        <v>316</v>
      </c>
      <c r="P376" s="63">
        <f>N376-E376</f>
        <v>5.0999999999999996</v>
      </c>
      <c r="Q376" s="66">
        <f>(N376-E376)/E376</f>
        <v>0.85</v>
      </c>
    </row>
    <row r="377" spans="1:17" ht="16" x14ac:dyDescent="0.2">
      <c r="A377" s="64">
        <v>212</v>
      </c>
      <c r="B377" s="64" t="s">
        <v>44</v>
      </c>
      <c r="C377" s="64" t="s">
        <v>228</v>
      </c>
      <c r="D377" s="65" t="s">
        <v>207</v>
      </c>
      <c r="E377" s="64">
        <v>5.5</v>
      </c>
      <c r="F377" s="64">
        <v>5.3</v>
      </c>
      <c r="G377" s="64">
        <v>5.8</v>
      </c>
      <c r="H377" s="63">
        <v>6.4</v>
      </c>
      <c r="I377" s="63">
        <v>7.5</v>
      </c>
      <c r="J377" s="63">
        <v>8.1</v>
      </c>
      <c r="K377" s="63">
        <v>8.8000000000000007</v>
      </c>
      <c r="L377" s="63">
        <v>10.6</v>
      </c>
      <c r="M377" s="63">
        <v>12.2</v>
      </c>
      <c r="N377" s="63">
        <v>11.8</v>
      </c>
      <c r="O377" s="63" t="s">
        <v>316</v>
      </c>
      <c r="P377" s="63">
        <f>N377-E377</f>
        <v>6.3000000000000007</v>
      </c>
      <c r="Q377" s="66">
        <f>(N377-E377)/E377</f>
        <v>1.1454545454545455</v>
      </c>
    </row>
    <row r="378" spans="1:17" ht="16" x14ac:dyDescent="0.2">
      <c r="A378" s="64">
        <v>213</v>
      </c>
      <c r="B378" s="64" t="s">
        <v>44</v>
      </c>
      <c r="C378" s="64" t="s">
        <v>228</v>
      </c>
      <c r="D378" s="65" t="s">
        <v>208</v>
      </c>
      <c r="E378" s="64">
        <v>5.4</v>
      </c>
      <c r="F378" s="64">
        <v>6.7</v>
      </c>
      <c r="G378" s="64">
        <v>8</v>
      </c>
      <c r="H378" s="63">
        <v>8.4</v>
      </c>
      <c r="I378" s="63">
        <v>9.4</v>
      </c>
      <c r="J378" s="63">
        <v>10.8</v>
      </c>
      <c r="K378" s="63">
        <v>15.9</v>
      </c>
      <c r="L378" s="63">
        <v>24.7</v>
      </c>
      <c r="M378" s="63">
        <v>25.4</v>
      </c>
      <c r="N378" s="63">
        <v>23.2</v>
      </c>
      <c r="O378" s="63" t="s">
        <v>316</v>
      </c>
      <c r="P378" s="63">
        <f>N378-E378</f>
        <v>17.799999999999997</v>
      </c>
      <c r="Q378" s="66">
        <f>(N378-E378)/E378</f>
        <v>3.2962962962962954</v>
      </c>
    </row>
    <row r="379" spans="1:17" ht="16" x14ac:dyDescent="0.2">
      <c r="A379" s="64">
        <v>214</v>
      </c>
      <c r="B379" s="64" t="s">
        <v>44</v>
      </c>
      <c r="C379" s="64" t="s">
        <v>228</v>
      </c>
      <c r="D379" s="65" t="s">
        <v>209</v>
      </c>
      <c r="E379" s="64">
        <v>5</v>
      </c>
      <c r="F379" s="64">
        <v>4.4000000000000004</v>
      </c>
      <c r="G379" s="64">
        <v>4.9000000000000004</v>
      </c>
      <c r="H379" s="63">
        <v>5.9</v>
      </c>
      <c r="I379" s="63">
        <v>6.9</v>
      </c>
      <c r="J379" s="63">
        <v>7.8</v>
      </c>
      <c r="K379" s="63">
        <v>11.4</v>
      </c>
      <c r="L379" s="63">
        <v>13.3</v>
      </c>
      <c r="M379" s="63">
        <v>13.1</v>
      </c>
      <c r="N379" s="63">
        <v>13.6</v>
      </c>
      <c r="O379" s="63" t="s">
        <v>316</v>
      </c>
      <c r="P379" s="63">
        <f>N379-E379</f>
        <v>8.6</v>
      </c>
      <c r="Q379" s="66">
        <f>(N379-E379)/E379</f>
        <v>1.72</v>
      </c>
    </row>
    <row r="380" spans="1:17" ht="16" x14ac:dyDescent="0.2">
      <c r="A380" s="64">
        <v>215</v>
      </c>
      <c r="B380" s="64" t="s">
        <v>44</v>
      </c>
      <c r="C380" s="64" t="s">
        <v>228</v>
      </c>
      <c r="D380" s="65" t="s">
        <v>207</v>
      </c>
      <c r="E380" s="64">
        <v>4.0999999999999996</v>
      </c>
      <c r="F380" s="64">
        <v>3.4</v>
      </c>
      <c r="G380" s="64">
        <v>4.9000000000000004</v>
      </c>
      <c r="H380" s="63">
        <v>5.8</v>
      </c>
      <c r="I380" s="63">
        <v>6.1</v>
      </c>
      <c r="J380" s="63">
        <v>7.8</v>
      </c>
      <c r="K380" s="63">
        <v>8.5</v>
      </c>
      <c r="L380" s="63">
        <v>9.8000000000000007</v>
      </c>
      <c r="M380" s="63">
        <v>12</v>
      </c>
      <c r="N380" s="63">
        <v>12.6</v>
      </c>
      <c r="O380" s="63" t="s">
        <v>316</v>
      </c>
      <c r="P380" s="63">
        <f>N380-E380</f>
        <v>8.5</v>
      </c>
      <c r="Q380" s="66">
        <f>(N380-E380)/E380</f>
        <v>2.0731707317073171</v>
      </c>
    </row>
    <row r="381" spans="1:17" ht="16" x14ac:dyDescent="0.2">
      <c r="A381" s="64">
        <v>216</v>
      </c>
      <c r="B381" s="64" t="s">
        <v>44</v>
      </c>
      <c r="C381" s="64" t="s">
        <v>228</v>
      </c>
      <c r="D381" s="65" t="s">
        <v>208</v>
      </c>
      <c r="E381" s="64">
        <v>6.8</v>
      </c>
      <c r="F381" s="63">
        <v>4.5999999999999996</v>
      </c>
      <c r="G381" s="64">
        <v>5.0999999999999996</v>
      </c>
      <c r="H381" s="63">
        <v>6.2</v>
      </c>
      <c r="I381" s="63">
        <v>7.5</v>
      </c>
      <c r="J381" s="63">
        <v>6.1</v>
      </c>
      <c r="K381" s="63">
        <v>9.1</v>
      </c>
      <c r="L381" s="63">
        <v>9</v>
      </c>
      <c r="M381" s="63">
        <v>10.5</v>
      </c>
      <c r="N381" s="63">
        <v>11.7</v>
      </c>
      <c r="O381" s="63" t="s">
        <v>316</v>
      </c>
      <c r="P381" s="63">
        <f>N381-E381</f>
        <v>4.8999999999999995</v>
      </c>
      <c r="Q381" s="66">
        <f>(N381-E381)/E381</f>
        <v>0.72058823529411764</v>
      </c>
    </row>
    <row r="382" spans="1:17" ht="16" x14ac:dyDescent="0.2"/>
    <row r="383" spans="1:17" ht="16" x14ac:dyDescent="0.2"/>
    <row r="384" spans="1:17" ht="16" x14ac:dyDescent="0.2"/>
    <row r="385" ht="16" x14ac:dyDescent="0.2"/>
    <row r="386" ht="16" x14ac:dyDescent="0.2"/>
    <row r="387" ht="16" x14ac:dyDescent="0.2"/>
    <row r="388" ht="16" x14ac:dyDescent="0.2"/>
    <row r="389" ht="16" x14ac:dyDescent="0.2"/>
    <row r="390" ht="16" x14ac:dyDescent="0.2"/>
    <row r="391" ht="16" x14ac:dyDescent="0.2"/>
    <row r="392" ht="16" x14ac:dyDescent="0.2"/>
    <row r="393" ht="16" x14ac:dyDescent="0.2"/>
    <row r="394" ht="16" x14ac:dyDescent="0.2"/>
    <row r="395" ht="16" x14ac:dyDescent="0.2"/>
    <row r="396" ht="16" x14ac:dyDescent="0.2"/>
    <row r="397" ht="16" x14ac:dyDescent="0.2"/>
    <row r="398" ht="16" x14ac:dyDescent="0.2"/>
    <row r="399" ht="16" x14ac:dyDescent="0.2"/>
    <row r="400" ht="16" x14ac:dyDescent="0.2"/>
    <row r="401" ht="16" x14ac:dyDescent="0.2"/>
    <row r="402" ht="16" x14ac:dyDescent="0.2"/>
    <row r="403" ht="16" x14ac:dyDescent="0.2"/>
    <row r="404" ht="16" x14ac:dyDescent="0.2"/>
    <row r="405" ht="16" x14ac:dyDescent="0.2"/>
    <row r="406" ht="16" x14ac:dyDescent="0.2"/>
    <row r="407" ht="16" x14ac:dyDescent="0.2"/>
    <row r="408" ht="16" x14ac:dyDescent="0.2"/>
    <row r="409" ht="16" x14ac:dyDescent="0.2"/>
    <row r="410" ht="16" x14ac:dyDescent="0.2"/>
    <row r="411" ht="16" x14ac:dyDescent="0.2"/>
    <row r="412" ht="16" x14ac:dyDescent="0.2"/>
    <row r="413" ht="16" x14ac:dyDescent="0.2"/>
    <row r="414" ht="16" x14ac:dyDescent="0.2"/>
  </sheetData>
  <autoFilter ref="A3:Q381" xr:uid="{D8640F68-1DBD-4542-A48A-9D106C2711AD}">
    <sortState xmlns:xlrd2="http://schemas.microsoft.com/office/spreadsheetml/2017/richdata2" ref="A4:Q381">
      <sortCondition ref="C3:C381"/>
    </sortState>
  </autoFilter>
  <mergeCells count="2">
    <mergeCell ref="A1:Q1"/>
    <mergeCell ref="A2:Q2"/>
  </mergeCells>
  <pageMargins left="0.7" right="0.7" top="0.75" bottom="0.75" header="0.3" footer="0.3"/>
  <pageSetup paperSize="9" scale="44" fitToHeight="0" orientation="landscape" r:id="rId1"/>
  <headerFooter>
    <oddHeader>&amp;LMaximum Linear Extension</oddHeader>
    <oddFooter>&amp;LThe First Quarterly Monitoring Report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DF9ED-D9C3-C344-95A8-DFEAB4D5ABC3}">
  <dimension ref="A1:T134"/>
  <sheetViews>
    <sheetView zoomScaleNormal="100" workbookViewId="0">
      <pane ySplit="3" topLeftCell="A4" activePane="bottomLeft" state="frozen"/>
      <selection pane="bottomLeft" activeCell="F13" sqref="F13"/>
    </sheetView>
  </sheetViews>
  <sheetFormatPr baseColWidth="10" defaultRowHeight="20" x14ac:dyDescent="0.25"/>
  <cols>
    <col min="1" max="1" width="10.83203125" style="13"/>
    <col min="2" max="2" width="20.5" style="14" customWidth="1"/>
    <col min="3" max="3" width="10.83203125" style="13"/>
    <col min="4" max="4" width="10.6640625" style="13" customWidth="1"/>
    <col min="5" max="16384" width="10.83203125" style="13"/>
  </cols>
  <sheetData>
    <row r="1" spans="1:20" ht="20" customHeight="1" x14ac:dyDescent="0.25">
      <c r="A1" s="105" t="s">
        <v>379</v>
      </c>
      <c r="B1" s="105"/>
      <c r="C1" s="105"/>
      <c r="D1" s="105"/>
      <c r="E1" s="105"/>
      <c r="F1" s="105"/>
      <c r="G1" s="105"/>
      <c r="H1" s="105"/>
      <c r="I1" s="105"/>
      <c r="J1" s="105"/>
      <c r="K1" s="105"/>
      <c r="L1" s="105"/>
      <c r="M1" s="105"/>
      <c r="N1" s="105"/>
      <c r="O1" s="105"/>
      <c r="P1" s="105"/>
      <c r="Q1" s="105"/>
      <c r="R1" s="105"/>
      <c r="S1" s="105"/>
      <c r="T1" s="105"/>
    </row>
    <row r="2" spans="1:20" ht="56" customHeight="1" x14ac:dyDescent="0.25">
      <c r="A2" s="106" t="s">
        <v>378</v>
      </c>
      <c r="B2" s="106"/>
      <c r="C2" s="106"/>
      <c r="D2" s="106"/>
      <c r="E2" s="106"/>
      <c r="F2" s="106"/>
      <c r="G2" s="106"/>
      <c r="H2" s="106"/>
      <c r="I2" s="106"/>
      <c r="J2" s="106"/>
      <c r="K2" s="106"/>
      <c r="L2" s="106"/>
      <c r="M2" s="106"/>
      <c r="N2" s="106"/>
      <c r="O2" s="106"/>
      <c r="P2" s="106"/>
      <c r="Q2" s="106"/>
      <c r="R2" s="106"/>
      <c r="S2" s="106"/>
      <c r="T2" s="106"/>
    </row>
    <row r="3" spans="1:20" x14ac:dyDescent="0.25">
      <c r="A3" s="111"/>
      <c r="B3" s="112" t="s">
        <v>377</v>
      </c>
      <c r="C3" s="111" t="s">
        <v>33</v>
      </c>
      <c r="D3" s="111" t="s">
        <v>34</v>
      </c>
      <c r="E3" s="111" t="s">
        <v>35</v>
      </c>
      <c r="F3" s="111" t="s">
        <v>36</v>
      </c>
      <c r="G3" s="111" t="s">
        <v>37</v>
      </c>
      <c r="H3" s="111" t="s">
        <v>38</v>
      </c>
      <c r="I3" s="111" t="s">
        <v>39</v>
      </c>
      <c r="J3" s="111" t="s">
        <v>40</v>
      </c>
      <c r="K3" s="111" t="s">
        <v>41</v>
      </c>
      <c r="L3" s="111" t="s">
        <v>42</v>
      </c>
      <c r="M3" s="111" t="s">
        <v>43</v>
      </c>
      <c r="N3" s="111" t="s">
        <v>44</v>
      </c>
      <c r="O3" s="111" t="s">
        <v>45</v>
      </c>
      <c r="P3" s="111" t="s">
        <v>46</v>
      </c>
      <c r="Q3" s="111" t="s">
        <v>47</v>
      </c>
      <c r="R3" s="111" t="s">
        <v>48</v>
      </c>
      <c r="S3" s="111" t="s">
        <v>49</v>
      </c>
      <c r="T3" s="111" t="s">
        <v>50</v>
      </c>
    </row>
    <row r="4" spans="1:20" x14ac:dyDescent="0.25">
      <c r="A4" s="107">
        <v>1</v>
      </c>
      <c r="B4" s="108" t="s">
        <v>15</v>
      </c>
      <c r="C4" s="107">
        <v>24</v>
      </c>
      <c r="D4" s="107">
        <v>19</v>
      </c>
      <c r="E4" s="107">
        <v>11</v>
      </c>
      <c r="F4" s="107">
        <v>17</v>
      </c>
      <c r="G4" s="107">
        <v>22</v>
      </c>
      <c r="H4" s="107">
        <v>5</v>
      </c>
      <c r="I4" s="107">
        <v>14</v>
      </c>
      <c r="J4" s="107">
        <v>27</v>
      </c>
      <c r="K4" s="107">
        <v>25</v>
      </c>
      <c r="L4" s="107">
        <v>23</v>
      </c>
      <c r="M4" s="107">
        <v>26</v>
      </c>
      <c r="N4" s="107">
        <v>30</v>
      </c>
      <c r="O4" s="107">
        <v>23</v>
      </c>
      <c r="P4" s="107">
        <v>22</v>
      </c>
      <c r="Q4" s="107">
        <v>53</v>
      </c>
      <c r="R4" s="107">
        <v>28</v>
      </c>
      <c r="S4" s="107">
        <v>25</v>
      </c>
      <c r="T4" s="107">
        <v>42</v>
      </c>
    </row>
    <row r="5" spans="1:20" x14ac:dyDescent="0.25">
      <c r="A5" s="107">
        <v>2</v>
      </c>
      <c r="B5" s="108" t="s">
        <v>25</v>
      </c>
      <c r="C5" s="107">
        <v>18</v>
      </c>
      <c r="D5" s="107">
        <v>10</v>
      </c>
      <c r="E5" s="107">
        <v>14</v>
      </c>
      <c r="F5" s="107">
        <v>9</v>
      </c>
      <c r="G5" s="107">
        <v>0</v>
      </c>
      <c r="H5" s="107">
        <v>14</v>
      </c>
      <c r="I5" s="107">
        <v>0</v>
      </c>
      <c r="J5" s="107">
        <v>11</v>
      </c>
      <c r="K5" s="107">
        <v>12</v>
      </c>
      <c r="L5" s="107">
        <v>10</v>
      </c>
      <c r="M5" s="107">
        <v>1</v>
      </c>
      <c r="N5" s="107">
        <v>12</v>
      </c>
      <c r="O5" s="107">
        <v>7</v>
      </c>
      <c r="P5" s="107">
        <v>19</v>
      </c>
      <c r="Q5" s="107">
        <v>15</v>
      </c>
      <c r="R5" s="107">
        <v>10</v>
      </c>
      <c r="S5" s="107">
        <v>12</v>
      </c>
      <c r="T5" s="107">
        <v>10</v>
      </c>
    </row>
    <row r="6" spans="1:20" x14ac:dyDescent="0.25">
      <c r="A6" s="107">
        <v>3</v>
      </c>
      <c r="B6" s="108" t="s">
        <v>51</v>
      </c>
      <c r="C6" s="107">
        <v>17</v>
      </c>
      <c r="D6" s="107">
        <v>17</v>
      </c>
      <c r="E6" s="107">
        <v>8</v>
      </c>
      <c r="F6" s="107">
        <v>22</v>
      </c>
      <c r="G6" s="107">
        <v>11</v>
      </c>
      <c r="H6" s="107">
        <v>18</v>
      </c>
      <c r="I6" s="107">
        <v>4</v>
      </c>
      <c r="J6" s="107">
        <v>27</v>
      </c>
      <c r="K6" s="107">
        <v>14</v>
      </c>
      <c r="L6" s="107">
        <v>14</v>
      </c>
      <c r="M6" s="107">
        <v>0</v>
      </c>
      <c r="N6" s="107">
        <v>13</v>
      </c>
      <c r="O6" s="107">
        <v>1</v>
      </c>
      <c r="P6" s="107">
        <v>13</v>
      </c>
      <c r="Q6" s="107">
        <v>11</v>
      </c>
      <c r="R6" s="107">
        <v>8</v>
      </c>
      <c r="S6" s="107">
        <v>4</v>
      </c>
      <c r="T6" s="107">
        <v>9</v>
      </c>
    </row>
    <row r="7" spans="1:20" x14ac:dyDescent="0.25">
      <c r="A7" s="107">
        <v>4</v>
      </c>
      <c r="B7" s="108" t="s">
        <v>27</v>
      </c>
      <c r="C7" s="107">
        <v>15</v>
      </c>
      <c r="D7" s="107">
        <v>15</v>
      </c>
      <c r="E7" s="107">
        <v>4</v>
      </c>
      <c r="F7" s="107">
        <v>8</v>
      </c>
      <c r="G7" s="107">
        <v>12</v>
      </c>
      <c r="H7" s="107">
        <v>14</v>
      </c>
      <c r="I7" s="107">
        <v>6</v>
      </c>
      <c r="J7" s="107">
        <v>13</v>
      </c>
      <c r="K7" s="107">
        <v>9</v>
      </c>
      <c r="L7" s="107">
        <v>15</v>
      </c>
      <c r="M7" s="107">
        <v>6</v>
      </c>
      <c r="N7" s="107">
        <v>7</v>
      </c>
      <c r="O7" s="107">
        <v>12</v>
      </c>
      <c r="P7" s="107">
        <v>10</v>
      </c>
      <c r="Q7" s="107">
        <v>12</v>
      </c>
      <c r="R7" s="107">
        <v>12</v>
      </c>
      <c r="S7" s="107">
        <v>8</v>
      </c>
      <c r="T7" s="107">
        <v>4</v>
      </c>
    </row>
    <row r="8" spans="1:20" x14ac:dyDescent="0.25">
      <c r="A8" s="107">
        <v>5</v>
      </c>
      <c r="B8" s="108" t="s">
        <v>28</v>
      </c>
      <c r="C8" s="107">
        <v>13</v>
      </c>
      <c r="D8" s="107">
        <v>1</v>
      </c>
      <c r="E8" s="107">
        <v>9</v>
      </c>
      <c r="F8" s="107">
        <v>1</v>
      </c>
      <c r="G8" s="107">
        <v>5</v>
      </c>
      <c r="H8" s="107">
        <v>1</v>
      </c>
      <c r="I8" s="107">
        <v>1</v>
      </c>
      <c r="J8" s="107">
        <v>5</v>
      </c>
      <c r="K8" s="107">
        <v>3</v>
      </c>
      <c r="L8" s="107">
        <v>3</v>
      </c>
      <c r="M8" s="107">
        <v>4</v>
      </c>
      <c r="N8" s="107">
        <v>0</v>
      </c>
      <c r="O8" s="107">
        <v>5</v>
      </c>
      <c r="P8" s="107">
        <v>6</v>
      </c>
      <c r="Q8" s="107">
        <v>7</v>
      </c>
      <c r="R8" s="107">
        <v>6</v>
      </c>
      <c r="S8" s="107">
        <v>8</v>
      </c>
      <c r="T8" s="107">
        <v>5</v>
      </c>
    </row>
    <row r="9" spans="1:20" x14ac:dyDescent="0.25">
      <c r="A9" s="107">
        <v>6</v>
      </c>
      <c r="B9" s="108" t="s">
        <v>24</v>
      </c>
      <c r="C9" s="107">
        <v>10</v>
      </c>
      <c r="D9" s="107">
        <v>15</v>
      </c>
      <c r="E9" s="107">
        <v>4</v>
      </c>
      <c r="F9" s="107">
        <v>30</v>
      </c>
      <c r="G9" s="107">
        <v>7</v>
      </c>
      <c r="H9" s="107">
        <v>13</v>
      </c>
      <c r="I9" s="107">
        <v>21</v>
      </c>
      <c r="J9" s="107">
        <v>15</v>
      </c>
      <c r="K9" s="107">
        <v>13</v>
      </c>
      <c r="L9" s="107">
        <v>25</v>
      </c>
      <c r="M9" s="107">
        <v>32</v>
      </c>
      <c r="N9" s="107">
        <v>25</v>
      </c>
      <c r="O9" s="107">
        <v>4</v>
      </c>
      <c r="P9" s="107">
        <v>13</v>
      </c>
      <c r="Q9" s="107">
        <v>6</v>
      </c>
      <c r="R9" s="107">
        <v>15</v>
      </c>
      <c r="S9" s="107">
        <v>3</v>
      </c>
      <c r="T9" s="107">
        <v>4</v>
      </c>
    </row>
    <row r="10" spans="1:20" x14ac:dyDescent="0.25">
      <c r="A10" s="107">
        <v>7</v>
      </c>
      <c r="B10" s="108" t="s">
        <v>52</v>
      </c>
      <c r="C10" s="107">
        <v>9</v>
      </c>
      <c r="D10" s="107">
        <v>6</v>
      </c>
      <c r="E10" s="107">
        <v>4</v>
      </c>
      <c r="F10" s="107">
        <v>7</v>
      </c>
      <c r="G10" s="107">
        <v>10</v>
      </c>
      <c r="H10" s="107">
        <v>7</v>
      </c>
      <c r="I10" s="107">
        <v>7</v>
      </c>
      <c r="J10" s="107">
        <v>7</v>
      </c>
      <c r="K10" s="107">
        <v>5</v>
      </c>
      <c r="L10" s="107">
        <v>5</v>
      </c>
      <c r="M10" s="107">
        <v>7</v>
      </c>
      <c r="N10" s="107">
        <v>3</v>
      </c>
      <c r="O10" s="107">
        <v>3</v>
      </c>
      <c r="P10" s="107">
        <v>3</v>
      </c>
      <c r="Q10" s="107">
        <v>6</v>
      </c>
      <c r="R10" s="107">
        <v>7</v>
      </c>
      <c r="S10" s="107">
        <v>5</v>
      </c>
      <c r="T10" s="107">
        <v>5</v>
      </c>
    </row>
    <row r="11" spans="1:20" x14ac:dyDescent="0.25">
      <c r="A11" s="107">
        <v>8</v>
      </c>
      <c r="B11" s="108" t="s">
        <v>53</v>
      </c>
      <c r="C11" s="107">
        <v>9</v>
      </c>
      <c r="D11" s="107">
        <v>36</v>
      </c>
      <c r="E11" s="107">
        <v>22</v>
      </c>
      <c r="F11" s="107">
        <v>0</v>
      </c>
      <c r="G11" s="107">
        <v>0</v>
      </c>
      <c r="H11" s="107">
        <v>0</v>
      </c>
      <c r="I11" s="107">
        <v>0</v>
      </c>
      <c r="J11" s="107">
        <v>1</v>
      </c>
      <c r="K11" s="107">
        <v>0</v>
      </c>
      <c r="L11" s="107">
        <v>0</v>
      </c>
      <c r="M11" s="107">
        <v>0</v>
      </c>
      <c r="N11" s="107">
        <v>0</v>
      </c>
      <c r="O11" s="107">
        <v>0</v>
      </c>
      <c r="P11" s="107">
        <v>0</v>
      </c>
      <c r="Q11" s="107">
        <v>0</v>
      </c>
      <c r="R11" s="107">
        <v>0</v>
      </c>
      <c r="S11" s="107">
        <v>0</v>
      </c>
      <c r="T11" s="107">
        <v>0</v>
      </c>
    </row>
    <row r="12" spans="1:20" x14ac:dyDescent="0.25">
      <c r="A12" s="107">
        <v>9</v>
      </c>
      <c r="B12" s="108" t="s">
        <v>54</v>
      </c>
      <c r="C12" s="107">
        <v>8</v>
      </c>
      <c r="D12" s="107">
        <v>8</v>
      </c>
      <c r="E12" s="107">
        <v>3</v>
      </c>
      <c r="F12" s="107">
        <v>10</v>
      </c>
      <c r="G12" s="107">
        <v>1</v>
      </c>
      <c r="H12" s="107">
        <v>4</v>
      </c>
      <c r="I12" s="107">
        <v>10</v>
      </c>
      <c r="J12" s="107">
        <v>2</v>
      </c>
      <c r="K12" s="107">
        <v>7</v>
      </c>
      <c r="L12" s="107">
        <v>7</v>
      </c>
      <c r="M12" s="107">
        <v>7</v>
      </c>
      <c r="N12" s="107">
        <v>10</v>
      </c>
      <c r="O12" s="107">
        <v>9</v>
      </c>
      <c r="P12" s="107">
        <v>7</v>
      </c>
      <c r="Q12" s="107">
        <v>10</v>
      </c>
      <c r="R12" s="107">
        <v>15</v>
      </c>
      <c r="S12" s="107">
        <v>7</v>
      </c>
      <c r="T12" s="107">
        <v>8</v>
      </c>
    </row>
    <row r="13" spans="1:20" x14ac:dyDescent="0.25">
      <c r="A13" s="107">
        <v>10</v>
      </c>
      <c r="B13" s="108" t="s">
        <v>55</v>
      </c>
      <c r="C13" s="107">
        <v>8</v>
      </c>
      <c r="D13" s="107">
        <v>6</v>
      </c>
      <c r="E13" s="107">
        <v>0</v>
      </c>
      <c r="F13" s="107">
        <v>3</v>
      </c>
      <c r="G13" s="107">
        <v>0</v>
      </c>
      <c r="H13" s="107">
        <v>5</v>
      </c>
      <c r="I13" s="107">
        <v>2</v>
      </c>
      <c r="J13" s="107">
        <v>0</v>
      </c>
      <c r="K13" s="107">
        <v>0</v>
      </c>
      <c r="L13" s="107">
        <v>0</v>
      </c>
      <c r="M13" s="107">
        <v>0</v>
      </c>
      <c r="N13" s="107">
        <v>0</v>
      </c>
      <c r="O13" s="107">
        <v>1</v>
      </c>
      <c r="P13" s="107">
        <v>3</v>
      </c>
      <c r="Q13" s="107">
        <v>1</v>
      </c>
      <c r="R13" s="107">
        <v>0</v>
      </c>
      <c r="S13" s="107">
        <v>0</v>
      </c>
      <c r="T13" s="107">
        <v>0</v>
      </c>
    </row>
    <row r="14" spans="1:20" x14ac:dyDescent="0.25">
      <c r="A14" s="107">
        <v>11</v>
      </c>
      <c r="B14" s="108" t="s">
        <v>18</v>
      </c>
      <c r="C14" s="107">
        <v>7</v>
      </c>
      <c r="D14" s="107">
        <v>32</v>
      </c>
      <c r="E14" s="107">
        <v>3</v>
      </c>
      <c r="F14" s="107">
        <v>33</v>
      </c>
      <c r="G14" s="107">
        <v>43</v>
      </c>
      <c r="H14" s="107">
        <v>63</v>
      </c>
      <c r="I14" s="107">
        <v>4</v>
      </c>
      <c r="J14" s="107">
        <v>13</v>
      </c>
      <c r="K14" s="107">
        <v>6</v>
      </c>
      <c r="L14" s="107">
        <v>16</v>
      </c>
      <c r="M14" s="107">
        <v>16</v>
      </c>
      <c r="N14" s="107">
        <v>0</v>
      </c>
      <c r="O14" s="107">
        <v>0</v>
      </c>
      <c r="P14" s="107">
        <v>8</v>
      </c>
      <c r="Q14" s="107">
        <v>5</v>
      </c>
      <c r="R14" s="107">
        <v>3</v>
      </c>
      <c r="S14" s="107">
        <v>12</v>
      </c>
      <c r="T14" s="107">
        <v>7</v>
      </c>
    </row>
    <row r="15" spans="1:20" x14ac:dyDescent="0.25">
      <c r="A15" s="107">
        <v>12</v>
      </c>
      <c r="B15" s="108" t="s">
        <v>56</v>
      </c>
      <c r="C15" s="107">
        <v>6</v>
      </c>
      <c r="D15" s="107">
        <v>5</v>
      </c>
      <c r="E15" s="107">
        <v>3</v>
      </c>
      <c r="F15" s="107">
        <v>2</v>
      </c>
      <c r="G15" s="107">
        <v>2</v>
      </c>
      <c r="H15" s="107">
        <v>2</v>
      </c>
      <c r="I15" s="107">
        <v>2</v>
      </c>
      <c r="J15" s="107">
        <v>8</v>
      </c>
      <c r="K15" s="107">
        <v>3</v>
      </c>
      <c r="L15" s="107">
        <v>2</v>
      </c>
      <c r="M15" s="107">
        <v>3</v>
      </c>
      <c r="N15" s="107">
        <v>4</v>
      </c>
      <c r="O15" s="107">
        <v>1</v>
      </c>
      <c r="P15" s="107">
        <v>2</v>
      </c>
      <c r="Q15" s="107">
        <v>5</v>
      </c>
      <c r="R15" s="107">
        <v>1</v>
      </c>
      <c r="S15" s="107">
        <v>19</v>
      </c>
      <c r="T15" s="107">
        <v>3</v>
      </c>
    </row>
    <row r="16" spans="1:20" x14ac:dyDescent="0.25">
      <c r="A16" s="107">
        <v>13</v>
      </c>
      <c r="B16" s="108" t="s">
        <v>57</v>
      </c>
      <c r="C16" s="107">
        <v>6</v>
      </c>
      <c r="D16" s="107">
        <v>4</v>
      </c>
      <c r="E16" s="107">
        <v>1</v>
      </c>
      <c r="F16" s="107">
        <v>1</v>
      </c>
      <c r="G16" s="107">
        <v>0</v>
      </c>
      <c r="H16" s="107">
        <v>4</v>
      </c>
      <c r="I16" s="107">
        <v>2</v>
      </c>
      <c r="J16" s="107">
        <v>3</v>
      </c>
      <c r="K16" s="107">
        <v>0</v>
      </c>
      <c r="L16" s="107">
        <v>1</v>
      </c>
      <c r="M16" s="107">
        <v>1</v>
      </c>
      <c r="N16" s="107">
        <v>1</v>
      </c>
      <c r="O16" s="107">
        <v>4</v>
      </c>
      <c r="P16" s="107">
        <v>2</v>
      </c>
      <c r="Q16" s="107">
        <v>3</v>
      </c>
      <c r="R16" s="107">
        <v>2</v>
      </c>
      <c r="S16" s="107">
        <v>2</v>
      </c>
      <c r="T16" s="107">
        <v>4</v>
      </c>
    </row>
    <row r="17" spans="1:20" x14ac:dyDescent="0.25">
      <c r="A17" s="107">
        <v>14</v>
      </c>
      <c r="B17" s="108" t="s">
        <v>14</v>
      </c>
      <c r="C17" s="107">
        <v>6</v>
      </c>
      <c r="D17" s="107">
        <v>6</v>
      </c>
      <c r="E17" s="107">
        <v>9</v>
      </c>
      <c r="F17" s="107">
        <v>6</v>
      </c>
      <c r="G17" s="107">
        <v>5</v>
      </c>
      <c r="H17" s="107">
        <v>3</v>
      </c>
      <c r="I17" s="107">
        <v>0</v>
      </c>
      <c r="J17" s="107">
        <v>2</v>
      </c>
      <c r="K17" s="107">
        <v>0</v>
      </c>
      <c r="L17" s="107">
        <v>0</v>
      </c>
      <c r="M17" s="107">
        <v>0</v>
      </c>
      <c r="N17" s="107">
        <v>0</v>
      </c>
      <c r="O17" s="107">
        <v>0</v>
      </c>
      <c r="P17" s="107">
        <v>0</v>
      </c>
      <c r="Q17" s="107">
        <v>0</v>
      </c>
      <c r="R17" s="107">
        <v>0</v>
      </c>
      <c r="S17" s="107">
        <v>0</v>
      </c>
      <c r="T17" s="107">
        <v>1</v>
      </c>
    </row>
    <row r="18" spans="1:20" x14ac:dyDescent="0.25">
      <c r="A18" s="107">
        <v>15</v>
      </c>
      <c r="B18" s="108" t="s">
        <v>58</v>
      </c>
      <c r="C18" s="107">
        <v>5</v>
      </c>
      <c r="D18" s="107">
        <v>2</v>
      </c>
      <c r="E18" s="107">
        <v>0</v>
      </c>
      <c r="F18" s="107">
        <v>7</v>
      </c>
      <c r="G18" s="107">
        <v>0</v>
      </c>
      <c r="H18" s="107">
        <v>2</v>
      </c>
      <c r="I18" s="107">
        <v>2</v>
      </c>
      <c r="J18" s="107">
        <v>2</v>
      </c>
      <c r="K18" s="107">
        <v>6</v>
      </c>
      <c r="L18" s="107">
        <v>7</v>
      </c>
      <c r="M18" s="107">
        <v>4</v>
      </c>
      <c r="N18" s="107">
        <v>4</v>
      </c>
      <c r="O18" s="107">
        <v>1</v>
      </c>
      <c r="P18" s="107">
        <v>12</v>
      </c>
      <c r="Q18" s="107">
        <v>2</v>
      </c>
      <c r="R18" s="107">
        <v>9</v>
      </c>
      <c r="S18" s="107">
        <v>7</v>
      </c>
      <c r="T18" s="107">
        <v>1</v>
      </c>
    </row>
    <row r="19" spans="1:20" x14ac:dyDescent="0.25">
      <c r="A19" s="107">
        <v>16</v>
      </c>
      <c r="B19" s="108" t="s">
        <v>59</v>
      </c>
      <c r="C19" s="107">
        <v>5</v>
      </c>
      <c r="D19" s="107">
        <v>6</v>
      </c>
      <c r="E19" s="107">
        <v>14</v>
      </c>
      <c r="F19" s="107">
        <v>14</v>
      </c>
      <c r="G19" s="107">
        <v>10</v>
      </c>
      <c r="H19" s="107">
        <v>8</v>
      </c>
      <c r="I19" s="107">
        <v>5</v>
      </c>
      <c r="J19" s="107">
        <v>5</v>
      </c>
      <c r="K19" s="107">
        <v>17</v>
      </c>
      <c r="L19" s="107">
        <v>10</v>
      </c>
      <c r="M19" s="107">
        <v>8</v>
      </c>
      <c r="N19" s="107">
        <v>10</v>
      </c>
      <c r="O19" s="107">
        <v>2</v>
      </c>
      <c r="P19" s="107">
        <v>18</v>
      </c>
      <c r="Q19" s="107">
        <v>8</v>
      </c>
      <c r="R19" s="107">
        <v>9</v>
      </c>
      <c r="S19" s="107">
        <v>3</v>
      </c>
      <c r="T19" s="107">
        <v>6</v>
      </c>
    </row>
    <row r="20" spans="1:20" x14ac:dyDescent="0.25">
      <c r="A20" s="107">
        <v>17</v>
      </c>
      <c r="B20" s="108" t="s">
        <v>60</v>
      </c>
      <c r="C20" s="107">
        <v>4</v>
      </c>
      <c r="D20" s="107">
        <v>4</v>
      </c>
      <c r="E20" s="107">
        <v>6</v>
      </c>
      <c r="F20" s="107">
        <v>5</v>
      </c>
      <c r="G20" s="107">
        <v>3</v>
      </c>
      <c r="H20" s="107">
        <v>2</v>
      </c>
      <c r="I20" s="107">
        <v>4</v>
      </c>
      <c r="J20" s="107">
        <v>4</v>
      </c>
      <c r="K20" s="107">
        <v>4</v>
      </c>
      <c r="L20" s="107">
        <v>6</v>
      </c>
      <c r="M20" s="107">
        <v>4</v>
      </c>
      <c r="N20" s="107">
        <v>8</v>
      </c>
      <c r="O20" s="107">
        <v>1</v>
      </c>
      <c r="P20" s="107">
        <v>2</v>
      </c>
      <c r="Q20" s="107">
        <v>3</v>
      </c>
      <c r="R20" s="107">
        <v>1</v>
      </c>
      <c r="S20" s="107">
        <v>0</v>
      </c>
      <c r="T20" s="107">
        <v>0</v>
      </c>
    </row>
    <row r="21" spans="1:20" x14ac:dyDescent="0.25">
      <c r="A21" s="107">
        <v>18</v>
      </c>
      <c r="B21" s="108" t="s">
        <v>16</v>
      </c>
      <c r="C21" s="107">
        <v>4</v>
      </c>
      <c r="D21" s="107">
        <v>1</v>
      </c>
      <c r="E21" s="107">
        <v>1</v>
      </c>
      <c r="F21" s="107">
        <v>2</v>
      </c>
      <c r="G21" s="107">
        <v>0</v>
      </c>
      <c r="H21" s="107">
        <v>2</v>
      </c>
      <c r="I21" s="107">
        <v>3</v>
      </c>
      <c r="J21" s="107">
        <v>2</v>
      </c>
      <c r="K21" s="107">
        <v>4</v>
      </c>
      <c r="L21" s="107">
        <v>7</v>
      </c>
      <c r="M21" s="107">
        <v>9</v>
      </c>
      <c r="N21" s="107">
        <v>3</v>
      </c>
      <c r="O21" s="107">
        <v>2</v>
      </c>
      <c r="P21" s="107">
        <v>1</v>
      </c>
      <c r="Q21" s="107">
        <v>9</v>
      </c>
      <c r="R21" s="107">
        <v>1</v>
      </c>
      <c r="S21" s="107">
        <v>24</v>
      </c>
      <c r="T21" s="107">
        <v>16</v>
      </c>
    </row>
    <row r="22" spans="1:20" x14ac:dyDescent="0.25">
      <c r="A22" s="107">
        <v>19</v>
      </c>
      <c r="B22" s="108" t="s">
        <v>61</v>
      </c>
      <c r="C22" s="107">
        <v>4</v>
      </c>
      <c r="D22" s="107">
        <v>7</v>
      </c>
      <c r="E22" s="107">
        <v>3</v>
      </c>
      <c r="F22" s="107">
        <v>10</v>
      </c>
      <c r="G22" s="107">
        <v>7</v>
      </c>
      <c r="H22" s="107">
        <v>4</v>
      </c>
      <c r="I22" s="107">
        <v>6</v>
      </c>
      <c r="J22" s="107">
        <v>6</v>
      </c>
      <c r="K22" s="107">
        <v>0</v>
      </c>
      <c r="L22" s="107">
        <v>3</v>
      </c>
      <c r="M22" s="107">
        <v>4</v>
      </c>
      <c r="N22" s="107">
        <v>6</v>
      </c>
      <c r="O22" s="107">
        <v>0</v>
      </c>
      <c r="P22" s="107">
        <v>11</v>
      </c>
      <c r="Q22" s="107">
        <v>7</v>
      </c>
      <c r="R22" s="107">
        <v>5</v>
      </c>
      <c r="S22" s="107">
        <v>2</v>
      </c>
      <c r="T22" s="107">
        <v>5</v>
      </c>
    </row>
    <row r="23" spans="1:20" x14ac:dyDescent="0.25">
      <c r="A23" s="107">
        <v>20</v>
      </c>
      <c r="B23" s="108" t="s">
        <v>62</v>
      </c>
      <c r="C23" s="107">
        <v>4</v>
      </c>
      <c r="D23" s="107">
        <v>0</v>
      </c>
      <c r="E23" s="107">
        <v>0</v>
      </c>
      <c r="F23" s="107">
        <v>0</v>
      </c>
      <c r="G23" s="107">
        <v>0</v>
      </c>
      <c r="H23" s="107">
        <v>0</v>
      </c>
      <c r="I23" s="107">
        <v>0</v>
      </c>
      <c r="J23" s="107">
        <v>0</v>
      </c>
      <c r="K23" s="107">
        <v>2</v>
      </c>
      <c r="L23" s="107">
        <v>0</v>
      </c>
      <c r="M23" s="107">
        <v>0</v>
      </c>
      <c r="N23" s="107">
        <v>0</v>
      </c>
      <c r="O23" s="107">
        <v>0</v>
      </c>
      <c r="P23" s="107">
        <v>0</v>
      </c>
      <c r="Q23" s="107">
        <v>0</v>
      </c>
      <c r="R23" s="107">
        <v>0</v>
      </c>
      <c r="S23" s="107">
        <v>0</v>
      </c>
      <c r="T23" s="107">
        <v>0</v>
      </c>
    </row>
    <row r="24" spans="1:20" x14ac:dyDescent="0.25">
      <c r="A24" s="107">
        <v>21</v>
      </c>
      <c r="B24" s="108" t="s">
        <v>63</v>
      </c>
      <c r="C24" s="107">
        <v>4</v>
      </c>
      <c r="D24" s="107">
        <v>2</v>
      </c>
      <c r="E24" s="107">
        <v>4</v>
      </c>
      <c r="F24" s="107">
        <v>0</v>
      </c>
      <c r="G24" s="107">
        <v>0</v>
      </c>
      <c r="H24" s="107">
        <v>0</v>
      </c>
      <c r="I24" s="107">
        <v>0</v>
      </c>
      <c r="J24" s="107">
        <v>0</v>
      </c>
      <c r="K24" s="107">
        <v>1</v>
      </c>
      <c r="L24" s="107">
        <v>0</v>
      </c>
      <c r="M24" s="107">
        <v>0</v>
      </c>
      <c r="N24" s="107">
        <v>0</v>
      </c>
      <c r="O24" s="107">
        <v>0</v>
      </c>
      <c r="P24" s="107">
        <v>11</v>
      </c>
      <c r="Q24" s="107">
        <v>0</v>
      </c>
      <c r="R24" s="107">
        <v>0</v>
      </c>
      <c r="S24" s="107">
        <v>0</v>
      </c>
      <c r="T24" s="107">
        <v>0</v>
      </c>
    </row>
    <row r="25" spans="1:20" x14ac:dyDescent="0.25">
      <c r="A25" s="107">
        <v>22</v>
      </c>
      <c r="B25" s="108" t="s">
        <v>64</v>
      </c>
      <c r="C25" s="107">
        <v>3</v>
      </c>
      <c r="D25" s="107">
        <v>1</v>
      </c>
      <c r="E25" s="107">
        <v>2</v>
      </c>
      <c r="F25" s="107">
        <v>1</v>
      </c>
      <c r="G25" s="107">
        <v>1</v>
      </c>
      <c r="H25" s="107">
        <v>0</v>
      </c>
      <c r="I25" s="107">
        <v>1</v>
      </c>
      <c r="J25" s="107">
        <v>2</v>
      </c>
      <c r="K25" s="107">
        <v>2</v>
      </c>
      <c r="L25" s="107">
        <v>1</v>
      </c>
      <c r="M25" s="107">
        <v>0</v>
      </c>
      <c r="N25" s="107">
        <v>0</v>
      </c>
      <c r="O25" s="107">
        <v>0</v>
      </c>
      <c r="P25" s="107">
        <v>1</v>
      </c>
      <c r="Q25" s="107">
        <v>1</v>
      </c>
      <c r="R25" s="107">
        <v>1</v>
      </c>
      <c r="S25" s="107">
        <v>2</v>
      </c>
      <c r="T25" s="107">
        <v>1</v>
      </c>
    </row>
    <row r="26" spans="1:20" x14ac:dyDescent="0.25">
      <c r="A26" s="107">
        <v>23</v>
      </c>
      <c r="B26" s="108" t="s">
        <v>65</v>
      </c>
      <c r="C26" s="107">
        <v>3</v>
      </c>
      <c r="D26" s="107">
        <v>5</v>
      </c>
      <c r="E26" s="107">
        <v>1</v>
      </c>
      <c r="F26" s="107">
        <v>0</v>
      </c>
      <c r="G26" s="107">
        <v>0</v>
      </c>
      <c r="H26" s="107">
        <v>0</v>
      </c>
      <c r="I26" s="107">
        <v>0</v>
      </c>
      <c r="J26" s="107">
        <v>0</v>
      </c>
      <c r="K26" s="107">
        <v>2</v>
      </c>
      <c r="L26" s="107">
        <v>0</v>
      </c>
      <c r="M26" s="107">
        <v>0</v>
      </c>
      <c r="N26" s="107">
        <v>0</v>
      </c>
      <c r="O26" s="107">
        <v>0</v>
      </c>
      <c r="P26" s="107">
        <v>4</v>
      </c>
      <c r="Q26" s="107">
        <v>1</v>
      </c>
      <c r="R26" s="107">
        <v>2</v>
      </c>
      <c r="S26" s="107">
        <v>1</v>
      </c>
      <c r="T26" s="107">
        <v>0</v>
      </c>
    </row>
    <row r="27" spans="1:20" x14ac:dyDescent="0.25">
      <c r="A27" s="107">
        <v>24</v>
      </c>
      <c r="B27" s="108" t="s">
        <v>66</v>
      </c>
      <c r="C27" s="107">
        <v>2</v>
      </c>
      <c r="D27" s="107">
        <v>1</v>
      </c>
      <c r="E27" s="107">
        <v>2</v>
      </c>
      <c r="F27" s="107">
        <v>1</v>
      </c>
      <c r="G27" s="107">
        <v>2</v>
      </c>
      <c r="H27" s="107">
        <v>3</v>
      </c>
      <c r="I27" s="107">
        <v>1</v>
      </c>
      <c r="J27" s="107">
        <v>3</v>
      </c>
      <c r="K27" s="107">
        <v>1</v>
      </c>
      <c r="L27" s="107">
        <v>3</v>
      </c>
      <c r="M27" s="107">
        <v>1</v>
      </c>
      <c r="N27" s="107">
        <v>2</v>
      </c>
      <c r="O27" s="107">
        <v>2</v>
      </c>
      <c r="P27" s="107">
        <v>3</v>
      </c>
      <c r="Q27" s="107">
        <v>2</v>
      </c>
      <c r="R27" s="107">
        <v>3</v>
      </c>
      <c r="S27" s="107">
        <v>1</v>
      </c>
      <c r="T27" s="107">
        <v>2</v>
      </c>
    </row>
    <row r="28" spans="1:20" x14ac:dyDescent="0.25">
      <c r="A28" s="107">
        <v>25</v>
      </c>
      <c r="B28" s="108" t="s">
        <v>67</v>
      </c>
      <c r="C28" s="107">
        <v>2</v>
      </c>
      <c r="D28" s="107">
        <v>12</v>
      </c>
      <c r="E28" s="107">
        <v>10</v>
      </c>
      <c r="F28" s="107">
        <v>6</v>
      </c>
      <c r="G28" s="107">
        <v>3</v>
      </c>
      <c r="H28" s="107">
        <v>7</v>
      </c>
      <c r="I28" s="107">
        <v>0</v>
      </c>
      <c r="J28" s="107">
        <v>6</v>
      </c>
      <c r="K28" s="107">
        <v>9</v>
      </c>
      <c r="L28" s="107">
        <v>0</v>
      </c>
      <c r="M28" s="107">
        <v>3</v>
      </c>
      <c r="N28" s="107">
        <v>1</v>
      </c>
      <c r="O28" s="107">
        <v>1</v>
      </c>
      <c r="P28" s="107">
        <v>1</v>
      </c>
      <c r="Q28" s="107">
        <v>1</v>
      </c>
      <c r="R28" s="107">
        <v>2</v>
      </c>
      <c r="S28" s="107">
        <v>0</v>
      </c>
      <c r="T28" s="107">
        <v>0</v>
      </c>
    </row>
    <row r="29" spans="1:20" x14ac:dyDescent="0.25">
      <c r="A29" s="107">
        <v>26</v>
      </c>
      <c r="B29" s="108" t="s">
        <v>68</v>
      </c>
      <c r="C29" s="107">
        <v>1</v>
      </c>
      <c r="D29" s="107">
        <v>0</v>
      </c>
      <c r="E29" s="107">
        <v>0</v>
      </c>
      <c r="F29" s="107">
        <v>0</v>
      </c>
      <c r="G29" s="107">
        <v>0</v>
      </c>
      <c r="H29" s="107">
        <v>0</v>
      </c>
      <c r="I29" s="107">
        <v>0</v>
      </c>
      <c r="J29" s="107">
        <v>0</v>
      </c>
      <c r="K29" s="107">
        <v>0</v>
      </c>
      <c r="L29" s="107">
        <v>0</v>
      </c>
      <c r="M29" s="107">
        <v>0</v>
      </c>
      <c r="N29" s="107">
        <v>0</v>
      </c>
      <c r="O29" s="107">
        <v>0</v>
      </c>
      <c r="P29" s="107">
        <v>0</v>
      </c>
      <c r="Q29" s="107">
        <v>0</v>
      </c>
      <c r="R29" s="107">
        <v>0</v>
      </c>
      <c r="S29" s="107">
        <v>1</v>
      </c>
      <c r="T29" s="107">
        <v>0</v>
      </c>
    </row>
    <row r="30" spans="1:20" x14ac:dyDescent="0.25">
      <c r="A30" s="107">
        <v>27</v>
      </c>
      <c r="B30" s="108" t="s">
        <v>69</v>
      </c>
      <c r="C30" s="107">
        <v>1</v>
      </c>
      <c r="D30" s="107">
        <v>2</v>
      </c>
      <c r="E30" s="107">
        <v>0</v>
      </c>
      <c r="F30" s="107">
        <v>0</v>
      </c>
      <c r="G30" s="107">
        <v>0</v>
      </c>
      <c r="H30" s="107">
        <v>3</v>
      </c>
      <c r="I30" s="107">
        <v>1</v>
      </c>
      <c r="J30" s="107">
        <v>0</v>
      </c>
      <c r="K30" s="107">
        <v>0</v>
      </c>
      <c r="L30" s="107">
        <v>0</v>
      </c>
      <c r="M30" s="107">
        <v>1</v>
      </c>
      <c r="N30" s="107">
        <v>0</v>
      </c>
      <c r="O30" s="107">
        <v>0</v>
      </c>
      <c r="P30" s="107">
        <v>6</v>
      </c>
      <c r="Q30" s="107">
        <v>0</v>
      </c>
      <c r="R30" s="107">
        <v>0</v>
      </c>
      <c r="S30" s="107">
        <v>0</v>
      </c>
      <c r="T30" s="107">
        <v>0</v>
      </c>
    </row>
    <row r="31" spans="1:20" x14ac:dyDescent="0.25">
      <c r="A31" s="107">
        <v>28</v>
      </c>
      <c r="B31" s="108" t="s">
        <v>70</v>
      </c>
      <c r="C31" s="107">
        <v>1</v>
      </c>
      <c r="D31" s="107">
        <v>0</v>
      </c>
      <c r="E31" s="107">
        <v>0</v>
      </c>
      <c r="F31" s="107">
        <v>0</v>
      </c>
      <c r="G31" s="107">
        <v>0</v>
      </c>
      <c r="H31" s="107">
        <v>0</v>
      </c>
      <c r="I31" s="107">
        <v>0</v>
      </c>
      <c r="J31" s="107">
        <v>0</v>
      </c>
      <c r="K31" s="107">
        <v>0</v>
      </c>
      <c r="L31" s="107">
        <v>0</v>
      </c>
      <c r="M31" s="107">
        <v>0</v>
      </c>
      <c r="N31" s="107">
        <v>0</v>
      </c>
      <c r="O31" s="107">
        <v>0</v>
      </c>
      <c r="P31" s="107">
        <v>0</v>
      </c>
      <c r="Q31" s="107">
        <v>0</v>
      </c>
      <c r="R31" s="107">
        <v>0</v>
      </c>
      <c r="S31" s="107">
        <v>0</v>
      </c>
      <c r="T31" s="107">
        <v>0</v>
      </c>
    </row>
    <row r="32" spans="1:20" x14ac:dyDescent="0.25">
      <c r="A32" s="107">
        <v>29</v>
      </c>
      <c r="B32" s="108" t="s">
        <v>71</v>
      </c>
      <c r="C32" s="107">
        <v>1</v>
      </c>
      <c r="D32" s="107">
        <v>0</v>
      </c>
      <c r="E32" s="107">
        <v>0</v>
      </c>
      <c r="F32" s="107">
        <v>0</v>
      </c>
      <c r="G32" s="107">
        <v>0</v>
      </c>
      <c r="H32" s="107">
        <v>0</v>
      </c>
      <c r="I32" s="107">
        <v>0</v>
      </c>
      <c r="J32" s="107">
        <v>0</v>
      </c>
      <c r="K32" s="107">
        <v>0</v>
      </c>
      <c r="L32" s="107">
        <v>0</v>
      </c>
      <c r="M32" s="107">
        <v>1</v>
      </c>
      <c r="N32" s="107">
        <v>0</v>
      </c>
      <c r="O32" s="107">
        <v>0</v>
      </c>
      <c r="P32" s="107">
        <v>1</v>
      </c>
      <c r="Q32" s="107">
        <v>0</v>
      </c>
      <c r="R32" s="107">
        <v>0</v>
      </c>
      <c r="S32" s="107">
        <v>0</v>
      </c>
      <c r="T32" s="107">
        <v>0</v>
      </c>
    </row>
    <row r="33" spans="1:20" x14ac:dyDescent="0.25">
      <c r="A33" s="107">
        <v>30</v>
      </c>
      <c r="B33" s="108" t="s">
        <v>72</v>
      </c>
      <c r="C33" s="107">
        <v>1</v>
      </c>
      <c r="D33" s="107">
        <v>2</v>
      </c>
      <c r="E33" s="107">
        <v>1</v>
      </c>
      <c r="F33" s="107">
        <v>2</v>
      </c>
      <c r="G33" s="107">
        <v>1</v>
      </c>
      <c r="H33" s="107">
        <v>3</v>
      </c>
      <c r="I33" s="107">
        <v>2</v>
      </c>
      <c r="J33" s="107">
        <v>0</v>
      </c>
      <c r="K33" s="107">
        <v>2</v>
      </c>
      <c r="L33" s="107">
        <v>3</v>
      </c>
      <c r="M33" s="107">
        <v>0</v>
      </c>
      <c r="N33" s="107">
        <v>1</v>
      </c>
      <c r="O33" s="107">
        <v>1</v>
      </c>
      <c r="P33" s="107">
        <v>1</v>
      </c>
      <c r="Q33" s="107">
        <v>0</v>
      </c>
      <c r="R33" s="107">
        <v>0</v>
      </c>
      <c r="S33" s="107">
        <v>0</v>
      </c>
      <c r="T33" s="107">
        <v>0</v>
      </c>
    </row>
    <row r="34" spans="1:20" x14ac:dyDescent="0.25">
      <c r="A34" s="107">
        <v>31</v>
      </c>
      <c r="B34" s="108" t="s">
        <v>73</v>
      </c>
      <c r="C34" s="107">
        <v>1</v>
      </c>
      <c r="D34" s="107">
        <v>0</v>
      </c>
      <c r="E34" s="107">
        <v>0</v>
      </c>
      <c r="F34" s="107">
        <v>0</v>
      </c>
      <c r="G34" s="107">
        <v>0</v>
      </c>
      <c r="H34" s="107">
        <v>0</v>
      </c>
      <c r="I34" s="107">
        <v>0</v>
      </c>
      <c r="J34" s="107">
        <v>0</v>
      </c>
      <c r="K34" s="107">
        <v>0</v>
      </c>
      <c r="L34" s="107">
        <v>0</v>
      </c>
      <c r="M34" s="107">
        <v>0</v>
      </c>
      <c r="N34" s="107">
        <v>0</v>
      </c>
      <c r="O34" s="107">
        <v>0</v>
      </c>
      <c r="P34" s="107">
        <v>0</v>
      </c>
      <c r="Q34" s="107">
        <v>0</v>
      </c>
      <c r="R34" s="107">
        <v>0</v>
      </c>
      <c r="S34" s="107">
        <v>0</v>
      </c>
      <c r="T34" s="107">
        <v>0</v>
      </c>
    </row>
    <row r="35" spans="1:20" x14ac:dyDescent="0.25">
      <c r="A35" s="107">
        <v>32</v>
      </c>
      <c r="B35" s="108" t="s">
        <v>74</v>
      </c>
      <c r="C35" s="107">
        <v>1</v>
      </c>
      <c r="D35" s="107">
        <v>0</v>
      </c>
      <c r="E35" s="107">
        <v>0</v>
      </c>
      <c r="F35" s="107">
        <v>0</v>
      </c>
      <c r="G35" s="107">
        <v>0</v>
      </c>
      <c r="H35" s="107">
        <v>1</v>
      </c>
      <c r="I35" s="107">
        <v>0</v>
      </c>
      <c r="J35" s="107">
        <v>0</v>
      </c>
      <c r="K35" s="107">
        <v>0</v>
      </c>
      <c r="L35" s="107">
        <v>0</v>
      </c>
      <c r="M35" s="107">
        <v>0</v>
      </c>
      <c r="N35" s="107">
        <v>0</v>
      </c>
      <c r="O35" s="107">
        <v>0</v>
      </c>
      <c r="P35" s="107">
        <v>0</v>
      </c>
      <c r="Q35" s="107">
        <v>0</v>
      </c>
      <c r="R35" s="107">
        <v>2</v>
      </c>
      <c r="S35" s="107">
        <v>0</v>
      </c>
      <c r="T35" s="107">
        <v>0</v>
      </c>
    </row>
    <row r="36" spans="1:20" x14ac:dyDescent="0.25">
      <c r="A36" s="107">
        <v>33</v>
      </c>
      <c r="B36" s="108" t="s">
        <v>26</v>
      </c>
      <c r="C36" s="107">
        <v>1</v>
      </c>
      <c r="D36" s="107">
        <v>0</v>
      </c>
      <c r="E36" s="107">
        <v>2</v>
      </c>
      <c r="F36" s="107">
        <v>1</v>
      </c>
      <c r="G36" s="107">
        <v>0</v>
      </c>
      <c r="H36" s="107">
        <v>1</v>
      </c>
      <c r="I36" s="107">
        <v>12</v>
      </c>
      <c r="J36" s="107">
        <v>2</v>
      </c>
      <c r="K36" s="107">
        <v>2</v>
      </c>
      <c r="L36" s="107">
        <v>1</v>
      </c>
      <c r="M36" s="107">
        <v>12</v>
      </c>
      <c r="N36" s="107">
        <v>0</v>
      </c>
      <c r="O36" s="107">
        <v>5</v>
      </c>
      <c r="P36" s="107">
        <v>2</v>
      </c>
      <c r="Q36" s="107">
        <v>2</v>
      </c>
      <c r="R36" s="107">
        <v>2</v>
      </c>
      <c r="S36" s="107">
        <v>3</v>
      </c>
      <c r="T36" s="107">
        <v>1</v>
      </c>
    </row>
    <row r="37" spans="1:20" x14ac:dyDescent="0.25">
      <c r="A37" s="107">
        <v>34</v>
      </c>
      <c r="B37" s="108" t="s">
        <v>75</v>
      </c>
      <c r="C37" s="107">
        <v>1</v>
      </c>
      <c r="D37" s="107">
        <v>2</v>
      </c>
      <c r="E37" s="107">
        <v>1</v>
      </c>
      <c r="F37" s="107">
        <v>0</v>
      </c>
      <c r="G37" s="107">
        <v>0</v>
      </c>
      <c r="H37" s="107">
        <v>1</v>
      </c>
      <c r="I37" s="107">
        <v>0</v>
      </c>
      <c r="J37" s="107">
        <v>0</v>
      </c>
      <c r="K37" s="107">
        <v>1</v>
      </c>
      <c r="L37" s="107">
        <v>1</v>
      </c>
      <c r="M37" s="107">
        <v>1</v>
      </c>
      <c r="N37" s="107">
        <v>0</v>
      </c>
      <c r="O37" s="107">
        <v>1</v>
      </c>
      <c r="P37" s="107">
        <v>1</v>
      </c>
      <c r="Q37" s="107">
        <v>2</v>
      </c>
      <c r="R37" s="107">
        <v>1</v>
      </c>
      <c r="S37" s="107">
        <v>2</v>
      </c>
      <c r="T37" s="107">
        <v>1</v>
      </c>
    </row>
    <row r="38" spans="1:20" x14ac:dyDescent="0.25">
      <c r="A38" s="107">
        <v>35</v>
      </c>
      <c r="B38" s="108" t="s">
        <v>76</v>
      </c>
      <c r="C38" s="107">
        <v>1</v>
      </c>
      <c r="D38" s="107">
        <v>2</v>
      </c>
      <c r="E38" s="107">
        <v>3</v>
      </c>
      <c r="F38" s="107">
        <v>1</v>
      </c>
      <c r="G38" s="107">
        <v>0</v>
      </c>
      <c r="H38" s="107">
        <v>1</v>
      </c>
      <c r="I38" s="107">
        <v>0</v>
      </c>
      <c r="J38" s="107">
        <v>1</v>
      </c>
      <c r="K38" s="107">
        <v>0</v>
      </c>
      <c r="L38" s="107">
        <v>0</v>
      </c>
      <c r="M38" s="107">
        <v>0</v>
      </c>
      <c r="N38" s="107">
        <v>0</v>
      </c>
      <c r="O38" s="107">
        <v>0</v>
      </c>
      <c r="P38" s="107">
        <v>0</v>
      </c>
      <c r="Q38" s="107">
        <v>3</v>
      </c>
      <c r="R38" s="107">
        <v>2</v>
      </c>
      <c r="S38" s="107">
        <v>2</v>
      </c>
      <c r="T38" s="107">
        <v>0</v>
      </c>
    </row>
    <row r="39" spans="1:20" x14ac:dyDescent="0.25">
      <c r="A39" s="107">
        <v>36</v>
      </c>
      <c r="B39" s="108" t="s">
        <v>77</v>
      </c>
      <c r="C39" s="107">
        <v>1</v>
      </c>
      <c r="D39" s="107">
        <v>1</v>
      </c>
      <c r="E39" s="107">
        <v>0</v>
      </c>
      <c r="F39" s="107">
        <v>0</v>
      </c>
      <c r="G39" s="107">
        <v>0</v>
      </c>
      <c r="H39" s="107">
        <v>1</v>
      </c>
      <c r="I39" s="107">
        <v>0</v>
      </c>
      <c r="J39" s="107">
        <v>0</v>
      </c>
      <c r="K39" s="107">
        <v>0</v>
      </c>
      <c r="L39" s="107">
        <v>0</v>
      </c>
      <c r="M39" s="107">
        <v>0</v>
      </c>
      <c r="N39" s="107">
        <v>0</v>
      </c>
      <c r="O39" s="107">
        <v>0</v>
      </c>
      <c r="P39" s="107">
        <v>0</v>
      </c>
      <c r="Q39" s="107">
        <v>0</v>
      </c>
      <c r="R39" s="107">
        <v>0</v>
      </c>
      <c r="S39" s="107">
        <v>0</v>
      </c>
      <c r="T39" s="107">
        <v>0</v>
      </c>
    </row>
    <row r="40" spans="1:20" x14ac:dyDescent="0.25">
      <c r="A40" s="107">
        <v>37</v>
      </c>
      <c r="B40" s="108" t="s">
        <v>78</v>
      </c>
      <c r="C40" s="107">
        <v>1</v>
      </c>
      <c r="D40" s="107">
        <v>2</v>
      </c>
      <c r="E40" s="107">
        <v>2</v>
      </c>
      <c r="F40" s="107">
        <v>0</v>
      </c>
      <c r="G40" s="107">
        <v>0</v>
      </c>
      <c r="H40" s="107">
        <v>0</v>
      </c>
      <c r="I40" s="107">
        <v>1</v>
      </c>
      <c r="J40" s="107">
        <v>0</v>
      </c>
      <c r="K40" s="107">
        <v>0</v>
      </c>
      <c r="L40" s="107">
        <v>1</v>
      </c>
      <c r="M40" s="107">
        <v>2</v>
      </c>
      <c r="N40" s="107">
        <v>0</v>
      </c>
      <c r="O40" s="107">
        <v>0</v>
      </c>
      <c r="P40" s="107">
        <v>2</v>
      </c>
      <c r="Q40" s="107">
        <v>0</v>
      </c>
      <c r="R40" s="107">
        <v>0</v>
      </c>
      <c r="S40" s="107">
        <v>0</v>
      </c>
      <c r="T40" s="107">
        <v>0</v>
      </c>
    </row>
    <row r="41" spans="1:20" x14ac:dyDescent="0.25">
      <c r="A41" s="107">
        <v>38</v>
      </c>
      <c r="B41" s="108" t="s">
        <v>79</v>
      </c>
      <c r="C41" s="107">
        <v>1</v>
      </c>
      <c r="D41" s="107">
        <v>2</v>
      </c>
      <c r="E41" s="107">
        <v>3</v>
      </c>
      <c r="F41" s="107">
        <v>1</v>
      </c>
      <c r="G41" s="107">
        <v>1</v>
      </c>
      <c r="H41" s="107">
        <v>2</v>
      </c>
      <c r="I41" s="107">
        <v>1</v>
      </c>
      <c r="J41" s="107">
        <v>0</v>
      </c>
      <c r="K41" s="107">
        <v>1</v>
      </c>
      <c r="L41" s="107">
        <v>3</v>
      </c>
      <c r="M41" s="107">
        <v>1</v>
      </c>
      <c r="N41" s="107">
        <v>1</v>
      </c>
      <c r="O41" s="107">
        <v>1</v>
      </c>
      <c r="P41" s="107">
        <v>0</v>
      </c>
      <c r="Q41" s="107">
        <v>0</v>
      </c>
      <c r="R41" s="107">
        <v>0</v>
      </c>
      <c r="S41" s="107">
        <v>1</v>
      </c>
      <c r="T41" s="107">
        <v>0</v>
      </c>
    </row>
    <row r="42" spans="1:20" x14ac:dyDescent="0.25">
      <c r="A42" s="107">
        <v>39</v>
      </c>
      <c r="B42" s="108" t="s">
        <v>80</v>
      </c>
      <c r="C42" s="107">
        <v>1</v>
      </c>
      <c r="D42" s="107">
        <v>0</v>
      </c>
      <c r="E42" s="107">
        <v>0</v>
      </c>
      <c r="F42" s="107">
        <v>1</v>
      </c>
      <c r="G42" s="107">
        <v>0</v>
      </c>
      <c r="H42" s="107">
        <v>2</v>
      </c>
      <c r="I42" s="107">
        <v>3</v>
      </c>
      <c r="J42" s="107">
        <v>0</v>
      </c>
      <c r="K42" s="107">
        <v>2</v>
      </c>
      <c r="L42" s="107">
        <v>2</v>
      </c>
      <c r="M42" s="107">
        <v>0</v>
      </c>
      <c r="N42" s="107">
        <v>0</v>
      </c>
      <c r="O42" s="107">
        <v>1</v>
      </c>
      <c r="P42" s="107">
        <v>0</v>
      </c>
      <c r="Q42" s="107">
        <v>1</v>
      </c>
      <c r="R42" s="107">
        <v>0</v>
      </c>
      <c r="S42" s="107">
        <v>0</v>
      </c>
      <c r="T42" s="107">
        <v>0</v>
      </c>
    </row>
    <row r="43" spans="1:20" x14ac:dyDescent="0.25">
      <c r="A43" s="107">
        <v>40</v>
      </c>
      <c r="B43" s="108" t="s">
        <v>81</v>
      </c>
      <c r="C43" s="107">
        <v>1</v>
      </c>
      <c r="D43" s="107">
        <v>0</v>
      </c>
      <c r="E43" s="107">
        <v>1</v>
      </c>
      <c r="F43" s="107">
        <v>0</v>
      </c>
      <c r="G43" s="107">
        <v>0</v>
      </c>
      <c r="H43" s="107">
        <v>0</v>
      </c>
      <c r="I43" s="107">
        <v>0</v>
      </c>
      <c r="J43" s="107">
        <v>0</v>
      </c>
      <c r="K43" s="107">
        <v>0</v>
      </c>
      <c r="L43" s="107">
        <v>0</v>
      </c>
      <c r="M43" s="107">
        <v>0</v>
      </c>
      <c r="N43" s="107">
        <v>0</v>
      </c>
      <c r="O43" s="107">
        <v>1</v>
      </c>
      <c r="P43" s="107">
        <v>0</v>
      </c>
      <c r="Q43" s="107">
        <v>0</v>
      </c>
      <c r="R43" s="107">
        <v>0</v>
      </c>
      <c r="S43" s="107">
        <v>0</v>
      </c>
      <c r="T43" s="107">
        <v>0</v>
      </c>
    </row>
    <row r="44" spans="1:20" x14ac:dyDescent="0.25">
      <c r="A44" s="107">
        <v>41</v>
      </c>
      <c r="B44" s="108" t="s">
        <v>82</v>
      </c>
      <c r="C44" s="107">
        <v>1</v>
      </c>
      <c r="D44" s="107">
        <v>2</v>
      </c>
      <c r="E44" s="107">
        <v>0</v>
      </c>
      <c r="F44" s="107">
        <v>4</v>
      </c>
      <c r="G44" s="107">
        <v>0</v>
      </c>
      <c r="H44" s="107">
        <v>1</v>
      </c>
      <c r="I44" s="107">
        <v>0</v>
      </c>
      <c r="J44" s="107">
        <v>1</v>
      </c>
      <c r="K44" s="107">
        <v>0</v>
      </c>
      <c r="L44" s="107">
        <v>0</v>
      </c>
      <c r="M44" s="107">
        <v>1</v>
      </c>
      <c r="N44" s="107">
        <v>1</v>
      </c>
      <c r="O44" s="107">
        <v>1</v>
      </c>
      <c r="P44" s="107">
        <v>1</v>
      </c>
      <c r="Q44" s="107">
        <v>0</v>
      </c>
      <c r="R44" s="107">
        <v>1</v>
      </c>
      <c r="S44" s="107">
        <v>2</v>
      </c>
      <c r="T44" s="107">
        <v>0</v>
      </c>
    </row>
    <row r="45" spans="1:20" x14ac:dyDescent="0.25">
      <c r="A45" s="107">
        <v>42</v>
      </c>
      <c r="B45" s="108" t="s">
        <v>83</v>
      </c>
      <c r="C45" s="107">
        <v>1</v>
      </c>
      <c r="D45" s="107">
        <v>0</v>
      </c>
      <c r="E45" s="107">
        <v>0</v>
      </c>
      <c r="F45" s="107">
        <v>0</v>
      </c>
      <c r="G45" s="107">
        <v>0</v>
      </c>
      <c r="H45" s="107">
        <v>0</v>
      </c>
      <c r="I45" s="107">
        <v>0</v>
      </c>
      <c r="J45" s="107">
        <v>0</v>
      </c>
      <c r="K45" s="107">
        <v>0</v>
      </c>
      <c r="L45" s="107">
        <v>0</v>
      </c>
      <c r="M45" s="107">
        <v>0</v>
      </c>
      <c r="N45" s="107">
        <v>0</v>
      </c>
      <c r="O45" s="107">
        <v>0</v>
      </c>
      <c r="P45" s="107">
        <v>0</v>
      </c>
      <c r="Q45" s="107">
        <v>0</v>
      </c>
      <c r="R45" s="107">
        <v>0</v>
      </c>
      <c r="S45" s="107">
        <v>0</v>
      </c>
      <c r="T45" s="107">
        <v>0</v>
      </c>
    </row>
    <row r="46" spans="1:20" x14ac:dyDescent="0.25">
      <c r="A46" s="107">
        <v>43</v>
      </c>
      <c r="B46" s="108" t="s">
        <v>84</v>
      </c>
      <c r="C46" s="107">
        <v>1</v>
      </c>
      <c r="D46" s="107">
        <v>0</v>
      </c>
      <c r="E46" s="107">
        <v>0</v>
      </c>
      <c r="F46" s="107">
        <v>0</v>
      </c>
      <c r="G46" s="107">
        <v>0</v>
      </c>
      <c r="H46" s="107">
        <v>0</v>
      </c>
      <c r="I46" s="107">
        <v>0</v>
      </c>
      <c r="J46" s="107">
        <v>0</v>
      </c>
      <c r="K46" s="107">
        <v>0</v>
      </c>
      <c r="L46" s="107">
        <v>0</v>
      </c>
      <c r="M46" s="107">
        <v>0</v>
      </c>
      <c r="N46" s="107">
        <v>0</v>
      </c>
      <c r="O46" s="107">
        <v>0</v>
      </c>
      <c r="P46" s="107">
        <v>0</v>
      </c>
      <c r="Q46" s="107">
        <v>0</v>
      </c>
      <c r="R46" s="107">
        <v>0</v>
      </c>
      <c r="S46" s="107">
        <v>0</v>
      </c>
      <c r="T46" s="107">
        <v>0</v>
      </c>
    </row>
    <row r="47" spans="1:20" x14ac:dyDescent="0.25">
      <c r="A47" s="107">
        <v>44</v>
      </c>
      <c r="B47" s="108" t="s">
        <v>85</v>
      </c>
      <c r="C47" s="107">
        <v>1</v>
      </c>
      <c r="D47" s="107">
        <v>0</v>
      </c>
      <c r="E47" s="107">
        <v>0</v>
      </c>
      <c r="F47" s="107">
        <v>0</v>
      </c>
      <c r="G47" s="107">
        <v>0</v>
      </c>
      <c r="H47" s="107">
        <v>0</v>
      </c>
      <c r="I47" s="107">
        <v>0</v>
      </c>
      <c r="J47" s="107">
        <v>0</v>
      </c>
      <c r="K47" s="107">
        <v>0</v>
      </c>
      <c r="L47" s="107">
        <v>0</v>
      </c>
      <c r="M47" s="107">
        <v>0</v>
      </c>
      <c r="N47" s="107">
        <v>1</v>
      </c>
      <c r="O47" s="107">
        <v>0</v>
      </c>
      <c r="P47" s="107">
        <v>1</v>
      </c>
      <c r="Q47" s="107">
        <v>0</v>
      </c>
      <c r="R47" s="107">
        <v>0</v>
      </c>
      <c r="S47" s="107">
        <v>0</v>
      </c>
      <c r="T47" s="107">
        <v>0</v>
      </c>
    </row>
    <row r="48" spans="1:20" x14ac:dyDescent="0.25">
      <c r="A48" s="107">
        <v>45</v>
      </c>
      <c r="B48" s="108" t="s">
        <v>86</v>
      </c>
      <c r="C48" s="107">
        <v>0</v>
      </c>
      <c r="D48" s="107">
        <v>10</v>
      </c>
      <c r="E48" s="107">
        <v>1</v>
      </c>
      <c r="F48" s="107">
        <v>3</v>
      </c>
      <c r="G48" s="107">
        <v>6</v>
      </c>
      <c r="H48" s="107">
        <v>7</v>
      </c>
      <c r="I48" s="107">
        <v>1</v>
      </c>
      <c r="J48" s="107">
        <v>3</v>
      </c>
      <c r="K48" s="107">
        <v>1</v>
      </c>
      <c r="L48" s="107">
        <v>1</v>
      </c>
      <c r="M48" s="107">
        <v>0</v>
      </c>
      <c r="N48" s="107">
        <v>0</v>
      </c>
      <c r="O48" s="107">
        <v>0</v>
      </c>
      <c r="P48" s="107">
        <v>0</v>
      </c>
      <c r="Q48" s="107">
        <v>1</v>
      </c>
      <c r="R48" s="107">
        <v>5</v>
      </c>
      <c r="S48" s="107">
        <v>0</v>
      </c>
      <c r="T48" s="107">
        <v>7</v>
      </c>
    </row>
    <row r="49" spans="1:20" x14ac:dyDescent="0.25">
      <c r="A49" s="107">
        <v>46</v>
      </c>
      <c r="B49" s="108" t="s">
        <v>87</v>
      </c>
      <c r="C49" s="107">
        <v>0</v>
      </c>
      <c r="D49" s="107">
        <v>6</v>
      </c>
      <c r="E49" s="107">
        <v>0</v>
      </c>
      <c r="F49" s="107">
        <v>2</v>
      </c>
      <c r="G49" s="107">
        <v>1</v>
      </c>
      <c r="H49" s="107">
        <v>0</v>
      </c>
      <c r="I49" s="107">
        <v>1</v>
      </c>
      <c r="J49" s="107">
        <v>0</v>
      </c>
      <c r="K49" s="107">
        <v>0</v>
      </c>
      <c r="L49" s="107">
        <v>0</v>
      </c>
      <c r="M49" s="107">
        <v>1</v>
      </c>
      <c r="N49" s="107">
        <v>0</v>
      </c>
      <c r="O49" s="107">
        <v>0</v>
      </c>
      <c r="P49" s="107">
        <v>13</v>
      </c>
      <c r="Q49" s="107">
        <v>0</v>
      </c>
      <c r="R49" s="107">
        <v>0</v>
      </c>
      <c r="S49" s="107">
        <v>0</v>
      </c>
      <c r="T49" s="107">
        <v>0</v>
      </c>
    </row>
    <row r="50" spans="1:20" x14ac:dyDescent="0.25">
      <c r="A50" s="107">
        <v>47</v>
      </c>
      <c r="B50" s="108" t="s">
        <v>88</v>
      </c>
      <c r="C50" s="107">
        <v>0</v>
      </c>
      <c r="D50" s="107">
        <v>5</v>
      </c>
      <c r="E50" s="107">
        <v>0</v>
      </c>
      <c r="F50" s="107">
        <v>0</v>
      </c>
      <c r="G50" s="107">
        <v>0</v>
      </c>
      <c r="H50" s="107">
        <v>0</v>
      </c>
      <c r="I50" s="107">
        <v>0</v>
      </c>
      <c r="J50" s="107">
        <v>1</v>
      </c>
      <c r="K50" s="107">
        <v>6</v>
      </c>
      <c r="L50" s="107">
        <v>1</v>
      </c>
      <c r="M50" s="107">
        <v>0</v>
      </c>
      <c r="N50" s="107">
        <v>1</v>
      </c>
      <c r="O50" s="107">
        <v>1</v>
      </c>
      <c r="P50" s="107">
        <v>0</v>
      </c>
      <c r="Q50" s="107">
        <v>0</v>
      </c>
      <c r="R50" s="107">
        <v>2</v>
      </c>
      <c r="S50" s="107">
        <v>1</v>
      </c>
      <c r="T50" s="107">
        <v>0</v>
      </c>
    </row>
    <row r="51" spans="1:20" x14ac:dyDescent="0.25">
      <c r="A51" s="107">
        <v>48</v>
      </c>
      <c r="B51" s="108" t="s">
        <v>89</v>
      </c>
      <c r="C51" s="107">
        <v>0</v>
      </c>
      <c r="D51" s="107">
        <v>4</v>
      </c>
      <c r="E51" s="107">
        <v>0</v>
      </c>
      <c r="F51" s="107">
        <v>1</v>
      </c>
      <c r="G51" s="107">
        <v>0</v>
      </c>
      <c r="H51" s="107">
        <v>0</v>
      </c>
      <c r="I51" s="107">
        <v>0</v>
      </c>
      <c r="J51" s="107">
        <v>3</v>
      </c>
      <c r="K51" s="107">
        <v>0</v>
      </c>
      <c r="L51" s="107">
        <v>1</v>
      </c>
      <c r="M51" s="107">
        <v>0</v>
      </c>
      <c r="N51" s="107">
        <v>0</v>
      </c>
      <c r="O51" s="107">
        <v>0</v>
      </c>
      <c r="P51" s="107">
        <v>0</v>
      </c>
      <c r="Q51" s="107">
        <v>5</v>
      </c>
      <c r="R51" s="107">
        <v>1</v>
      </c>
      <c r="S51" s="107">
        <v>5</v>
      </c>
      <c r="T51" s="107">
        <v>1</v>
      </c>
    </row>
    <row r="52" spans="1:20" x14ac:dyDescent="0.25">
      <c r="A52" s="107">
        <v>49</v>
      </c>
      <c r="B52" s="108" t="s">
        <v>90</v>
      </c>
      <c r="C52" s="107">
        <v>0</v>
      </c>
      <c r="D52" s="107">
        <v>4</v>
      </c>
      <c r="E52" s="107">
        <v>0</v>
      </c>
      <c r="F52" s="107">
        <v>0</v>
      </c>
      <c r="G52" s="107">
        <v>1</v>
      </c>
      <c r="H52" s="107">
        <v>2</v>
      </c>
      <c r="I52" s="107">
        <v>0</v>
      </c>
      <c r="J52" s="107">
        <v>0</v>
      </c>
      <c r="K52" s="107">
        <v>0</v>
      </c>
      <c r="L52" s="107">
        <v>1</v>
      </c>
      <c r="M52" s="107">
        <v>0</v>
      </c>
      <c r="N52" s="107">
        <v>0</v>
      </c>
      <c r="O52" s="107">
        <v>0</v>
      </c>
      <c r="P52" s="107">
        <v>0</v>
      </c>
      <c r="Q52" s="107">
        <v>0</v>
      </c>
      <c r="R52" s="107">
        <v>0</v>
      </c>
      <c r="S52" s="107">
        <v>1</v>
      </c>
      <c r="T52" s="107">
        <v>0</v>
      </c>
    </row>
    <row r="53" spans="1:20" x14ac:dyDescent="0.25">
      <c r="A53" s="107">
        <v>50</v>
      </c>
      <c r="B53" s="108" t="s">
        <v>91</v>
      </c>
      <c r="C53" s="107">
        <v>0</v>
      </c>
      <c r="D53" s="107">
        <v>4</v>
      </c>
      <c r="E53" s="107">
        <v>0</v>
      </c>
      <c r="F53" s="107">
        <v>0</v>
      </c>
      <c r="G53" s="107">
        <v>0</v>
      </c>
      <c r="H53" s="107">
        <v>0</v>
      </c>
      <c r="I53" s="107">
        <v>0</v>
      </c>
      <c r="J53" s="107">
        <v>0</v>
      </c>
      <c r="K53" s="107">
        <v>6</v>
      </c>
      <c r="L53" s="107">
        <v>0</v>
      </c>
      <c r="M53" s="107">
        <v>0</v>
      </c>
      <c r="N53" s="107">
        <v>6</v>
      </c>
      <c r="O53" s="107">
        <v>0</v>
      </c>
      <c r="P53" s="107">
        <v>0</v>
      </c>
      <c r="Q53" s="107">
        <v>0</v>
      </c>
      <c r="R53" s="107">
        <v>0</v>
      </c>
      <c r="S53" s="107">
        <v>2</v>
      </c>
      <c r="T53" s="107">
        <v>0</v>
      </c>
    </row>
    <row r="54" spans="1:20" x14ac:dyDescent="0.25">
      <c r="A54" s="107">
        <v>51</v>
      </c>
      <c r="B54" s="108" t="s">
        <v>92</v>
      </c>
      <c r="C54" s="107">
        <v>0</v>
      </c>
      <c r="D54" s="107">
        <v>3</v>
      </c>
      <c r="E54" s="107">
        <v>2</v>
      </c>
      <c r="F54" s="107">
        <v>2</v>
      </c>
      <c r="G54" s="107">
        <v>2</v>
      </c>
      <c r="H54" s="107">
        <v>0</v>
      </c>
      <c r="I54" s="107">
        <v>0</v>
      </c>
      <c r="J54" s="107">
        <v>0</v>
      </c>
      <c r="K54" s="107">
        <v>1</v>
      </c>
      <c r="L54" s="107">
        <v>4</v>
      </c>
      <c r="M54" s="107">
        <v>0</v>
      </c>
      <c r="N54" s="107">
        <v>3</v>
      </c>
      <c r="O54" s="107">
        <v>1</v>
      </c>
      <c r="P54" s="107">
        <v>1</v>
      </c>
      <c r="Q54" s="107">
        <v>0</v>
      </c>
      <c r="R54" s="107">
        <v>1</v>
      </c>
      <c r="S54" s="107">
        <v>3</v>
      </c>
      <c r="T54" s="107">
        <v>0</v>
      </c>
    </row>
    <row r="55" spans="1:20" x14ac:dyDescent="0.25">
      <c r="A55" s="107">
        <v>52</v>
      </c>
      <c r="B55" s="108" t="s">
        <v>93</v>
      </c>
      <c r="C55" s="107">
        <v>0</v>
      </c>
      <c r="D55" s="107">
        <v>2</v>
      </c>
      <c r="E55" s="107">
        <v>0</v>
      </c>
      <c r="F55" s="107">
        <v>2</v>
      </c>
      <c r="G55" s="107">
        <v>0</v>
      </c>
      <c r="H55" s="107">
        <v>0</v>
      </c>
      <c r="I55" s="107">
        <v>0</v>
      </c>
      <c r="J55" s="107">
        <v>0</v>
      </c>
      <c r="K55" s="107">
        <v>0</v>
      </c>
      <c r="L55" s="107">
        <v>2</v>
      </c>
      <c r="M55" s="107">
        <v>0</v>
      </c>
      <c r="N55" s="107">
        <v>0</v>
      </c>
      <c r="O55" s="107">
        <v>0</v>
      </c>
      <c r="P55" s="107">
        <v>0</v>
      </c>
      <c r="Q55" s="107">
        <v>0</v>
      </c>
      <c r="R55" s="107">
        <v>0</v>
      </c>
      <c r="S55" s="107">
        <v>0</v>
      </c>
      <c r="T55" s="107">
        <v>0</v>
      </c>
    </row>
    <row r="56" spans="1:20" x14ac:dyDescent="0.25">
      <c r="A56" s="107">
        <v>53</v>
      </c>
      <c r="B56" s="108" t="s">
        <v>94</v>
      </c>
      <c r="C56" s="107">
        <v>0</v>
      </c>
      <c r="D56" s="107">
        <v>2</v>
      </c>
      <c r="E56" s="107">
        <v>0</v>
      </c>
      <c r="F56" s="107">
        <v>0</v>
      </c>
      <c r="G56" s="107">
        <v>0</v>
      </c>
      <c r="H56" s="107">
        <v>0</v>
      </c>
      <c r="I56" s="107">
        <v>0</v>
      </c>
      <c r="J56" s="107">
        <v>0</v>
      </c>
      <c r="K56" s="107">
        <v>0</v>
      </c>
      <c r="L56" s="107">
        <v>0</v>
      </c>
      <c r="M56" s="107">
        <v>0</v>
      </c>
      <c r="N56" s="107">
        <v>0</v>
      </c>
      <c r="O56" s="107">
        <v>0</v>
      </c>
      <c r="P56" s="107">
        <v>0</v>
      </c>
      <c r="Q56" s="107">
        <v>0</v>
      </c>
      <c r="R56" s="107">
        <v>2</v>
      </c>
      <c r="S56" s="107">
        <v>0</v>
      </c>
      <c r="T56" s="107">
        <v>0</v>
      </c>
    </row>
    <row r="57" spans="1:20" x14ac:dyDescent="0.25">
      <c r="A57" s="107">
        <v>54</v>
      </c>
      <c r="B57" s="108" t="s">
        <v>95</v>
      </c>
      <c r="C57" s="107">
        <v>0</v>
      </c>
      <c r="D57" s="107">
        <v>2</v>
      </c>
      <c r="E57" s="107">
        <v>0</v>
      </c>
      <c r="F57" s="107">
        <v>0</v>
      </c>
      <c r="G57" s="107">
        <v>0</v>
      </c>
      <c r="H57" s="107">
        <v>0</v>
      </c>
      <c r="I57" s="107">
        <v>1</v>
      </c>
      <c r="J57" s="107">
        <v>1</v>
      </c>
      <c r="K57" s="107">
        <v>0</v>
      </c>
      <c r="L57" s="107">
        <v>0</v>
      </c>
      <c r="M57" s="107">
        <v>1</v>
      </c>
      <c r="N57" s="107">
        <v>0</v>
      </c>
      <c r="O57" s="107">
        <v>1</v>
      </c>
      <c r="P57" s="107">
        <v>1</v>
      </c>
      <c r="Q57" s="107">
        <v>1</v>
      </c>
      <c r="R57" s="107">
        <v>0</v>
      </c>
      <c r="S57" s="107">
        <v>0</v>
      </c>
      <c r="T57" s="107">
        <v>0</v>
      </c>
    </row>
    <row r="58" spans="1:20" x14ac:dyDescent="0.25">
      <c r="A58" s="107">
        <v>55</v>
      </c>
      <c r="B58" s="108" t="s">
        <v>96</v>
      </c>
      <c r="C58" s="107">
        <v>0</v>
      </c>
      <c r="D58" s="107">
        <v>2</v>
      </c>
      <c r="E58" s="107">
        <v>3</v>
      </c>
      <c r="F58" s="107">
        <v>3</v>
      </c>
      <c r="G58" s="107">
        <v>0</v>
      </c>
      <c r="H58" s="107">
        <v>2</v>
      </c>
      <c r="I58" s="107">
        <v>0</v>
      </c>
      <c r="J58" s="107">
        <v>2</v>
      </c>
      <c r="K58" s="107">
        <v>3</v>
      </c>
      <c r="L58" s="107">
        <v>3</v>
      </c>
      <c r="M58" s="107">
        <v>3</v>
      </c>
      <c r="N58" s="107">
        <v>1</v>
      </c>
      <c r="O58" s="107">
        <v>2</v>
      </c>
      <c r="P58" s="107">
        <v>4</v>
      </c>
      <c r="Q58" s="107">
        <v>0</v>
      </c>
      <c r="R58" s="107">
        <v>3</v>
      </c>
      <c r="S58" s="107">
        <v>2</v>
      </c>
      <c r="T58" s="107">
        <v>2</v>
      </c>
    </row>
    <row r="59" spans="1:20" x14ac:dyDescent="0.25">
      <c r="A59" s="107">
        <v>56</v>
      </c>
      <c r="B59" s="108" t="s">
        <v>97</v>
      </c>
      <c r="C59" s="107">
        <v>0</v>
      </c>
      <c r="D59" s="107">
        <v>2</v>
      </c>
      <c r="E59" s="107">
        <v>1</v>
      </c>
      <c r="F59" s="107">
        <v>0</v>
      </c>
      <c r="G59" s="107">
        <v>1</v>
      </c>
      <c r="H59" s="107">
        <v>1</v>
      </c>
      <c r="I59" s="107">
        <v>0</v>
      </c>
      <c r="J59" s="107">
        <v>0</v>
      </c>
      <c r="K59" s="107">
        <v>1</v>
      </c>
      <c r="L59" s="107">
        <v>0</v>
      </c>
      <c r="M59" s="107">
        <v>0</v>
      </c>
      <c r="N59" s="107">
        <v>2</v>
      </c>
      <c r="O59" s="107">
        <v>2</v>
      </c>
      <c r="P59" s="107">
        <v>1</v>
      </c>
      <c r="Q59" s="107">
        <v>0</v>
      </c>
      <c r="R59" s="107">
        <v>2</v>
      </c>
      <c r="S59" s="107">
        <v>2</v>
      </c>
      <c r="T59" s="107">
        <v>1</v>
      </c>
    </row>
    <row r="60" spans="1:20" x14ac:dyDescent="0.25">
      <c r="A60" s="107">
        <v>57</v>
      </c>
      <c r="B60" s="108" t="s">
        <v>98</v>
      </c>
      <c r="C60" s="107">
        <v>0</v>
      </c>
      <c r="D60" s="107">
        <v>1</v>
      </c>
      <c r="E60" s="107">
        <v>1</v>
      </c>
      <c r="F60" s="107">
        <v>2</v>
      </c>
      <c r="G60" s="107">
        <v>0</v>
      </c>
      <c r="H60" s="107">
        <v>0</v>
      </c>
      <c r="I60" s="107">
        <v>0</v>
      </c>
      <c r="J60" s="107">
        <v>0</v>
      </c>
      <c r="K60" s="107">
        <v>2</v>
      </c>
      <c r="L60" s="107">
        <v>1</v>
      </c>
      <c r="M60" s="107">
        <v>0</v>
      </c>
      <c r="N60" s="107">
        <v>0</v>
      </c>
      <c r="O60" s="107">
        <v>0</v>
      </c>
      <c r="P60" s="107">
        <v>0</v>
      </c>
      <c r="Q60" s="107">
        <v>0</v>
      </c>
      <c r="R60" s="107">
        <v>0</v>
      </c>
      <c r="S60" s="107">
        <v>0</v>
      </c>
      <c r="T60" s="107">
        <v>0</v>
      </c>
    </row>
    <row r="61" spans="1:20" x14ac:dyDescent="0.25">
      <c r="A61" s="107">
        <v>58</v>
      </c>
      <c r="B61" s="108" t="s">
        <v>99</v>
      </c>
      <c r="C61" s="107">
        <v>0</v>
      </c>
      <c r="D61" s="107">
        <v>1</v>
      </c>
      <c r="E61" s="107">
        <v>3</v>
      </c>
      <c r="F61" s="107">
        <v>1</v>
      </c>
      <c r="G61" s="107">
        <v>0</v>
      </c>
      <c r="H61" s="107">
        <v>0</v>
      </c>
      <c r="I61" s="107">
        <v>0</v>
      </c>
      <c r="J61" s="107">
        <v>2</v>
      </c>
      <c r="K61" s="107">
        <v>0</v>
      </c>
      <c r="L61" s="107">
        <v>2</v>
      </c>
      <c r="M61" s="107">
        <v>1</v>
      </c>
      <c r="N61" s="107">
        <v>0</v>
      </c>
      <c r="O61" s="107">
        <v>0</v>
      </c>
      <c r="P61" s="107">
        <v>3</v>
      </c>
      <c r="Q61" s="107">
        <v>3</v>
      </c>
      <c r="R61" s="107">
        <v>0</v>
      </c>
      <c r="S61" s="107">
        <v>6</v>
      </c>
      <c r="T61" s="107">
        <v>0</v>
      </c>
    </row>
    <row r="62" spans="1:20" x14ac:dyDescent="0.25">
      <c r="A62" s="107">
        <v>59</v>
      </c>
      <c r="B62" s="108" t="s">
        <v>100</v>
      </c>
      <c r="C62" s="107">
        <v>0</v>
      </c>
      <c r="D62" s="107">
        <v>1</v>
      </c>
      <c r="E62" s="107">
        <v>0</v>
      </c>
      <c r="F62" s="107">
        <v>0</v>
      </c>
      <c r="G62" s="107">
        <v>0</v>
      </c>
      <c r="H62" s="107">
        <v>0</v>
      </c>
      <c r="I62" s="107">
        <v>0</v>
      </c>
      <c r="J62" s="107">
        <v>0</v>
      </c>
      <c r="K62" s="107">
        <v>0</v>
      </c>
      <c r="L62" s="107">
        <v>0</v>
      </c>
      <c r="M62" s="107">
        <v>0</v>
      </c>
      <c r="N62" s="107">
        <v>0</v>
      </c>
      <c r="O62" s="107">
        <v>0</v>
      </c>
      <c r="P62" s="107">
        <v>0</v>
      </c>
      <c r="Q62" s="107">
        <v>0</v>
      </c>
      <c r="R62" s="107">
        <v>0</v>
      </c>
      <c r="S62" s="107">
        <v>0</v>
      </c>
      <c r="T62" s="107">
        <v>0</v>
      </c>
    </row>
    <row r="63" spans="1:20" x14ac:dyDescent="0.25">
      <c r="A63" s="107">
        <v>60</v>
      </c>
      <c r="B63" s="108" t="s">
        <v>101</v>
      </c>
      <c r="C63" s="107">
        <v>0</v>
      </c>
      <c r="D63" s="107">
        <v>1</v>
      </c>
      <c r="E63" s="107">
        <v>0</v>
      </c>
      <c r="F63" s="107">
        <v>1</v>
      </c>
      <c r="G63" s="107">
        <v>0</v>
      </c>
      <c r="H63" s="107">
        <v>0</v>
      </c>
      <c r="I63" s="107">
        <v>0</v>
      </c>
      <c r="J63" s="107">
        <v>0</v>
      </c>
      <c r="K63" s="107">
        <v>0</v>
      </c>
      <c r="L63" s="107">
        <v>0</v>
      </c>
      <c r="M63" s="107">
        <v>0</v>
      </c>
      <c r="N63" s="107">
        <v>0</v>
      </c>
      <c r="O63" s="107">
        <v>0</v>
      </c>
      <c r="P63" s="107">
        <v>0</v>
      </c>
      <c r="Q63" s="107">
        <v>0</v>
      </c>
      <c r="R63" s="107">
        <v>0</v>
      </c>
      <c r="S63" s="107">
        <v>0</v>
      </c>
      <c r="T63" s="107">
        <v>0</v>
      </c>
    </row>
    <row r="64" spans="1:20" x14ac:dyDescent="0.25">
      <c r="A64" s="107">
        <v>61</v>
      </c>
      <c r="B64" s="108" t="s">
        <v>102</v>
      </c>
      <c r="C64" s="107">
        <v>0</v>
      </c>
      <c r="D64" s="107">
        <v>1</v>
      </c>
      <c r="E64" s="107">
        <v>1</v>
      </c>
      <c r="F64" s="107">
        <v>0</v>
      </c>
      <c r="G64" s="107">
        <v>0</v>
      </c>
      <c r="H64" s="107">
        <v>0</v>
      </c>
      <c r="I64" s="107">
        <v>0</v>
      </c>
      <c r="J64" s="107">
        <v>0</v>
      </c>
      <c r="K64" s="107">
        <v>0</v>
      </c>
      <c r="L64" s="107">
        <v>0</v>
      </c>
      <c r="M64" s="107">
        <v>0</v>
      </c>
      <c r="N64" s="107">
        <v>0</v>
      </c>
      <c r="O64" s="107">
        <v>0</v>
      </c>
      <c r="P64" s="107">
        <v>0</v>
      </c>
      <c r="Q64" s="107">
        <v>0</v>
      </c>
      <c r="R64" s="107">
        <v>0</v>
      </c>
      <c r="S64" s="107">
        <v>0</v>
      </c>
      <c r="T64" s="107">
        <v>0</v>
      </c>
    </row>
    <row r="65" spans="1:20" x14ac:dyDescent="0.25">
      <c r="A65" s="107">
        <v>62</v>
      </c>
      <c r="B65" s="108" t="s">
        <v>103</v>
      </c>
      <c r="C65" s="107">
        <v>0</v>
      </c>
      <c r="D65" s="107">
        <v>1</v>
      </c>
      <c r="E65" s="107">
        <v>2</v>
      </c>
      <c r="F65" s="107">
        <v>2</v>
      </c>
      <c r="G65" s="107">
        <v>1</v>
      </c>
      <c r="H65" s="107">
        <v>0</v>
      </c>
      <c r="I65" s="107">
        <v>4</v>
      </c>
      <c r="J65" s="107">
        <v>3</v>
      </c>
      <c r="K65" s="107">
        <v>2</v>
      </c>
      <c r="L65" s="107">
        <v>2</v>
      </c>
      <c r="M65" s="107">
        <v>0</v>
      </c>
      <c r="N65" s="107">
        <v>0</v>
      </c>
      <c r="O65" s="107">
        <v>2</v>
      </c>
      <c r="P65" s="107">
        <v>4</v>
      </c>
      <c r="Q65" s="107">
        <v>0</v>
      </c>
      <c r="R65" s="107">
        <v>1</v>
      </c>
      <c r="S65" s="107">
        <v>0</v>
      </c>
      <c r="T65" s="107">
        <v>6</v>
      </c>
    </row>
    <row r="66" spans="1:20" x14ac:dyDescent="0.25">
      <c r="A66" s="107">
        <v>63</v>
      </c>
      <c r="B66" s="108" t="s">
        <v>104</v>
      </c>
      <c r="C66" s="107">
        <v>0</v>
      </c>
      <c r="D66" s="107">
        <v>1</v>
      </c>
      <c r="E66" s="107">
        <v>0</v>
      </c>
      <c r="F66" s="107">
        <v>0</v>
      </c>
      <c r="G66" s="107">
        <v>0</v>
      </c>
      <c r="H66" s="107">
        <v>0</v>
      </c>
      <c r="I66" s="107">
        <v>0</v>
      </c>
      <c r="J66" s="107">
        <v>0</v>
      </c>
      <c r="K66" s="107">
        <v>0</v>
      </c>
      <c r="L66" s="107">
        <v>0</v>
      </c>
      <c r="M66" s="107">
        <v>0</v>
      </c>
      <c r="N66" s="107">
        <v>0</v>
      </c>
      <c r="O66" s="107">
        <v>0</v>
      </c>
      <c r="P66" s="107">
        <v>0</v>
      </c>
      <c r="Q66" s="107">
        <v>0</v>
      </c>
      <c r="R66" s="107">
        <v>0</v>
      </c>
      <c r="S66" s="107">
        <v>0</v>
      </c>
      <c r="T66" s="107">
        <v>0</v>
      </c>
    </row>
    <row r="67" spans="1:20" x14ac:dyDescent="0.25">
      <c r="A67" s="107">
        <v>64</v>
      </c>
      <c r="B67" s="108" t="s">
        <v>105</v>
      </c>
      <c r="C67" s="107">
        <v>0</v>
      </c>
      <c r="D67" s="107">
        <v>1</v>
      </c>
      <c r="E67" s="107">
        <v>2</v>
      </c>
      <c r="F67" s="107">
        <v>3</v>
      </c>
      <c r="G67" s="107">
        <v>0</v>
      </c>
      <c r="H67" s="107">
        <v>2</v>
      </c>
      <c r="I67" s="107">
        <v>4</v>
      </c>
      <c r="J67" s="107">
        <v>1</v>
      </c>
      <c r="K67" s="107">
        <v>0</v>
      </c>
      <c r="L67" s="107">
        <v>2</v>
      </c>
      <c r="M67" s="107">
        <v>2</v>
      </c>
      <c r="N67" s="107">
        <v>0</v>
      </c>
      <c r="O67" s="107">
        <v>1</v>
      </c>
      <c r="P67" s="107">
        <v>1</v>
      </c>
      <c r="Q67" s="107">
        <v>4</v>
      </c>
      <c r="R67" s="107">
        <v>2</v>
      </c>
      <c r="S67" s="107">
        <v>12</v>
      </c>
      <c r="T67" s="107">
        <v>1</v>
      </c>
    </row>
    <row r="68" spans="1:20" x14ac:dyDescent="0.25">
      <c r="A68" s="107">
        <v>65</v>
      </c>
      <c r="B68" s="108" t="s">
        <v>106</v>
      </c>
      <c r="C68" s="107">
        <v>0</v>
      </c>
      <c r="D68" s="107">
        <v>1</v>
      </c>
      <c r="E68" s="107">
        <v>3</v>
      </c>
      <c r="F68" s="107">
        <v>5</v>
      </c>
      <c r="G68" s="107">
        <v>0</v>
      </c>
      <c r="H68" s="107">
        <v>2</v>
      </c>
      <c r="I68" s="107">
        <v>0</v>
      </c>
      <c r="J68" s="107">
        <v>0</v>
      </c>
      <c r="K68" s="107">
        <v>2</v>
      </c>
      <c r="L68" s="107">
        <v>0</v>
      </c>
      <c r="M68" s="107">
        <v>0</v>
      </c>
      <c r="N68" s="107">
        <v>0</v>
      </c>
      <c r="O68" s="107">
        <v>1</v>
      </c>
      <c r="P68" s="107">
        <v>0</v>
      </c>
      <c r="Q68" s="107">
        <v>0</v>
      </c>
      <c r="R68" s="107">
        <v>0</v>
      </c>
      <c r="S68" s="107">
        <v>0</v>
      </c>
      <c r="T68" s="107">
        <v>0</v>
      </c>
    </row>
    <row r="69" spans="1:20" x14ac:dyDescent="0.25">
      <c r="A69" s="107">
        <v>66</v>
      </c>
      <c r="B69" s="108" t="s">
        <v>107</v>
      </c>
      <c r="C69" s="107">
        <v>0</v>
      </c>
      <c r="D69" s="107">
        <v>0</v>
      </c>
      <c r="E69" s="107">
        <v>4</v>
      </c>
      <c r="F69" s="107">
        <v>0</v>
      </c>
      <c r="G69" s="107">
        <v>0</v>
      </c>
      <c r="H69" s="107">
        <v>2</v>
      </c>
      <c r="I69" s="107">
        <v>0</v>
      </c>
      <c r="J69" s="107">
        <v>0</v>
      </c>
      <c r="K69" s="107">
        <v>0</v>
      </c>
      <c r="L69" s="107">
        <v>0</v>
      </c>
      <c r="M69" s="107">
        <v>0</v>
      </c>
      <c r="N69" s="107">
        <v>0</v>
      </c>
      <c r="O69" s="107">
        <v>0</v>
      </c>
      <c r="P69" s="107">
        <v>0</v>
      </c>
      <c r="Q69" s="107">
        <v>0</v>
      </c>
      <c r="R69" s="107">
        <v>0</v>
      </c>
      <c r="S69" s="107">
        <v>0</v>
      </c>
      <c r="T69" s="107">
        <v>0</v>
      </c>
    </row>
    <row r="70" spans="1:20" x14ac:dyDescent="0.25">
      <c r="A70" s="107">
        <v>67</v>
      </c>
      <c r="B70" s="108" t="s">
        <v>108</v>
      </c>
      <c r="C70" s="107">
        <v>0</v>
      </c>
      <c r="D70" s="107">
        <v>0</v>
      </c>
      <c r="E70" s="107">
        <v>2</v>
      </c>
      <c r="F70" s="107">
        <v>0</v>
      </c>
      <c r="G70" s="107">
        <v>0</v>
      </c>
      <c r="H70" s="107">
        <v>2</v>
      </c>
      <c r="I70" s="107">
        <v>0</v>
      </c>
      <c r="J70" s="107">
        <v>0</v>
      </c>
      <c r="K70" s="107">
        <v>0</v>
      </c>
      <c r="L70" s="107">
        <v>0</v>
      </c>
      <c r="M70" s="107">
        <v>0</v>
      </c>
      <c r="N70" s="107">
        <v>0</v>
      </c>
      <c r="O70" s="107">
        <v>0</v>
      </c>
      <c r="P70" s="107">
        <v>0</v>
      </c>
      <c r="Q70" s="107">
        <v>1</v>
      </c>
      <c r="R70" s="107">
        <v>1</v>
      </c>
      <c r="S70" s="107">
        <v>0</v>
      </c>
      <c r="T70" s="107">
        <v>0</v>
      </c>
    </row>
    <row r="71" spans="1:20" x14ac:dyDescent="0.25">
      <c r="A71" s="107">
        <v>68</v>
      </c>
      <c r="B71" s="108" t="s">
        <v>109</v>
      </c>
      <c r="C71" s="107">
        <v>0</v>
      </c>
      <c r="D71" s="107">
        <v>0</v>
      </c>
      <c r="E71" s="107">
        <v>2</v>
      </c>
      <c r="F71" s="107">
        <v>0</v>
      </c>
      <c r="G71" s="107">
        <v>0</v>
      </c>
      <c r="H71" s="107">
        <v>0</v>
      </c>
      <c r="I71" s="107">
        <v>0</v>
      </c>
      <c r="J71" s="107">
        <v>0</v>
      </c>
      <c r="K71" s="107">
        <v>0</v>
      </c>
      <c r="L71" s="107">
        <v>0</v>
      </c>
      <c r="M71" s="107">
        <v>0</v>
      </c>
      <c r="N71" s="107">
        <v>0</v>
      </c>
      <c r="O71" s="107">
        <v>0</v>
      </c>
      <c r="P71" s="107">
        <v>2</v>
      </c>
      <c r="Q71" s="107">
        <v>0</v>
      </c>
      <c r="R71" s="107">
        <v>0</v>
      </c>
      <c r="S71" s="107">
        <v>1</v>
      </c>
      <c r="T71" s="107">
        <v>0</v>
      </c>
    </row>
    <row r="72" spans="1:20" x14ac:dyDescent="0.25">
      <c r="A72" s="107">
        <v>69</v>
      </c>
      <c r="B72" s="108" t="s">
        <v>110</v>
      </c>
      <c r="C72" s="107">
        <v>0</v>
      </c>
      <c r="D72" s="107">
        <v>0</v>
      </c>
      <c r="E72" s="107">
        <v>2</v>
      </c>
      <c r="F72" s="107">
        <v>1</v>
      </c>
      <c r="G72" s="107">
        <v>0</v>
      </c>
      <c r="H72" s="107">
        <v>0</v>
      </c>
      <c r="I72" s="107">
        <v>0</v>
      </c>
      <c r="J72" s="107">
        <v>0</v>
      </c>
      <c r="K72" s="107">
        <v>0</v>
      </c>
      <c r="L72" s="107">
        <v>0</v>
      </c>
      <c r="M72" s="107">
        <v>0</v>
      </c>
      <c r="N72" s="107">
        <v>1</v>
      </c>
      <c r="O72" s="107">
        <v>0</v>
      </c>
      <c r="P72" s="107">
        <v>0</v>
      </c>
      <c r="Q72" s="107">
        <v>0</v>
      </c>
      <c r="R72" s="107">
        <v>0</v>
      </c>
      <c r="S72" s="107">
        <v>0</v>
      </c>
      <c r="T72" s="107">
        <v>0</v>
      </c>
    </row>
    <row r="73" spans="1:20" x14ac:dyDescent="0.25">
      <c r="A73" s="107">
        <v>70</v>
      </c>
      <c r="B73" s="108" t="s">
        <v>111</v>
      </c>
      <c r="C73" s="107">
        <v>0</v>
      </c>
      <c r="D73" s="107">
        <v>0</v>
      </c>
      <c r="E73" s="107">
        <v>2</v>
      </c>
      <c r="F73" s="107">
        <v>0</v>
      </c>
      <c r="G73" s="107">
        <v>1</v>
      </c>
      <c r="H73" s="107">
        <v>0</v>
      </c>
      <c r="I73" s="107">
        <v>0</v>
      </c>
      <c r="J73" s="107">
        <v>0</v>
      </c>
      <c r="K73" s="107">
        <v>0</v>
      </c>
      <c r="L73" s="107">
        <v>0</v>
      </c>
      <c r="M73" s="107">
        <v>0</v>
      </c>
      <c r="N73" s="107">
        <v>0</v>
      </c>
      <c r="O73" s="107">
        <v>1</v>
      </c>
      <c r="P73" s="107">
        <v>0</v>
      </c>
      <c r="Q73" s="107">
        <v>0</v>
      </c>
      <c r="R73" s="107">
        <v>0</v>
      </c>
      <c r="S73" s="107">
        <v>0</v>
      </c>
      <c r="T73" s="107">
        <v>0</v>
      </c>
    </row>
    <row r="74" spans="1:20" x14ac:dyDescent="0.25">
      <c r="A74" s="107">
        <v>71</v>
      </c>
      <c r="B74" s="108" t="s">
        <v>112</v>
      </c>
      <c r="C74" s="107">
        <v>0</v>
      </c>
      <c r="D74" s="107">
        <v>0</v>
      </c>
      <c r="E74" s="107">
        <v>1</v>
      </c>
      <c r="F74" s="107">
        <v>1</v>
      </c>
      <c r="G74" s="107">
        <v>0</v>
      </c>
      <c r="H74" s="107">
        <v>0</v>
      </c>
      <c r="I74" s="107">
        <v>1</v>
      </c>
      <c r="J74" s="107">
        <v>0</v>
      </c>
      <c r="K74" s="107">
        <v>0</v>
      </c>
      <c r="L74" s="107">
        <v>0</v>
      </c>
      <c r="M74" s="107">
        <v>0</v>
      </c>
      <c r="N74" s="107">
        <v>0</v>
      </c>
      <c r="O74" s="107">
        <v>0</v>
      </c>
      <c r="P74" s="107">
        <v>0</v>
      </c>
      <c r="Q74" s="107">
        <v>0</v>
      </c>
      <c r="R74" s="107">
        <v>0</v>
      </c>
      <c r="S74" s="107">
        <v>0</v>
      </c>
      <c r="T74" s="107">
        <v>1</v>
      </c>
    </row>
    <row r="75" spans="1:20" x14ac:dyDescent="0.25">
      <c r="A75" s="107">
        <v>72</v>
      </c>
      <c r="B75" s="108" t="s">
        <v>113</v>
      </c>
      <c r="C75" s="107">
        <v>0</v>
      </c>
      <c r="D75" s="107">
        <v>0</v>
      </c>
      <c r="E75" s="107">
        <v>1</v>
      </c>
      <c r="F75" s="107">
        <v>0</v>
      </c>
      <c r="G75" s="107">
        <v>0</v>
      </c>
      <c r="H75" s="107">
        <v>4</v>
      </c>
      <c r="I75" s="107">
        <v>0</v>
      </c>
      <c r="J75" s="107">
        <v>0</v>
      </c>
      <c r="K75" s="107">
        <v>0</v>
      </c>
      <c r="L75" s="107">
        <v>2</v>
      </c>
      <c r="M75" s="107">
        <v>0</v>
      </c>
      <c r="N75" s="107">
        <v>0</v>
      </c>
      <c r="O75" s="107">
        <v>0</v>
      </c>
      <c r="P75" s="107">
        <v>0</v>
      </c>
      <c r="Q75" s="107">
        <v>1</v>
      </c>
      <c r="R75" s="107">
        <v>2</v>
      </c>
      <c r="S75" s="107">
        <v>0</v>
      </c>
      <c r="T75" s="107">
        <v>0</v>
      </c>
    </row>
    <row r="76" spans="1:20" x14ac:dyDescent="0.25">
      <c r="A76" s="107">
        <v>73</v>
      </c>
      <c r="B76" s="108" t="s">
        <v>114</v>
      </c>
      <c r="C76" s="107">
        <v>0</v>
      </c>
      <c r="D76" s="107">
        <v>0</v>
      </c>
      <c r="E76" s="107">
        <v>1</v>
      </c>
      <c r="F76" s="107">
        <v>0</v>
      </c>
      <c r="G76" s="107">
        <v>0</v>
      </c>
      <c r="H76" s="107">
        <v>0</v>
      </c>
      <c r="I76" s="107">
        <v>0</v>
      </c>
      <c r="J76" s="107">
        <v>0</v>
      </c>
      <c r="K76" s="107">
        <v>0</v>
      </c>
      <c r="L76" s="107">
        <v>0</v>
      </c>
      <c r="M76" s="107">
        <v>0</v>
      </c>
      <c r="N76" s="107">
        <v>0</v>
      </c>
      <c r="O76" s="107">
        <v>0</v>
      </c>
      <c r="P76" s="107">
        <v>0</v>
      </c>
      <c r="Q76" s="107">
        <v>0</v>
      </c>
      <c r="R76" s="107">
        <v>0</v>
      </c>
      <c r="S76" s="107">
        <v>0</v>
      </c>
      <c r="T76" s="107">
        <v>0</v>
      </c>
    </row>
    <row r="77" spans="1:20" x14ac:dyDescent="0.25">
      <c r="A77" s="107">
        <v>74</v>
      </c>
      <c r="B77" s="108" t="s">
        <v>115</v>
      </c>
      <c r="C77" s="107">
        <v>0</v>
      </c>
      <c r="D77" s="107">
        <v>0</v>
      </c>
      <c r="E77" s="107">
        <v>1</v>
      </c>
      <c r="F77" s="107">
        <v>0</v>
      </c>
      <c r="G77" s="107">
        <v>0</v>
      </c>
      <c r="H77" s="107">
        <v>0</v>
      </c>
      <c r="I77" s="107">
        <v>0</v>
      </c>
      <c r="J77" s="107">
        <v>0</v>
      </c>
      <c r="K77" s="107">
        <v>2</v>
      </c>
      <c r="L77" s="107">
        <v>0</v>
      </c>
      <c r="M77" s="107">
        <v>0</v>
      </c>
      <c r="N77" s="107">
        <v>0</v>
      </c>
      <c r="O77" s="107">
        <v>0</v>
      </c>
      <c r="P77" s="107">
        <v>0</v>
      </c>
      <c r="Q77" s="107">
        <v>0</v>
      </c>
      <c r="R77" s="107">
        <v>0</v>
      </c>
      <c r="S77" s="107">
        <v>0</v>
      </c>
      <c r="T77" s="107">
        <v>0</v>
      </c>
    </row>
    <row r="78" spans="1:20" x14ac:dyDescent="0.25">
      <c r="A78" s="107">
        <v>75</v>
      </c>
      <c r="B78" s="108" t="s">
        <v>116</v>
      </c>
      <c r="C78" s="107">
        <v>0</v>
      </c>
      <c r="D78" s="107">
        <v>0</v>
      </c>
      <c r="E78" s="107">
        <v>1</v>
      </c>
      <c r="F78" s="107">
        <v>0</v>
      </c>
      <c r="G78" s="107">
        <v>0</v>
      </c>
      <c r="H78" s="107">
        <v>0</v>
      </c>
      <c r="I78" s="107">
        <v>0</v>
      </c>
      <c r="J78" s="107">
        <v>0</v>
      </c>
      <c r="K78" s="107">
        <v>1</v>
      </c>
      <c r="L78" s="107">
        <v>0</v>
      </c>
      <c r="M78" s="107">
        <v>0</v>
      </c>
      <c r="N78" s="107">
        <v>1</v>
      </c>
      <c r="O78" s="107">
        <v>0</v>
      </c>
      <c r="P78" s="107">
        <v>6</v>
      </c>
      <c r="Q78" s="107">
        <v>0</v>
      </c>
      <c r="R78" s="107">
        <v>0</v>
      </c>
      <c r="S78" s="107">
        <v>3</v>
      </c>
      <c r="T78" s="107">
        <v>0</v>
      </c>
    </row>
    <row r="79" spans="1:20" x14ac:dyDescent="0.25">
      <c r="A79" s="107">
        <v>76</v>
      </c>
      <c r="B79" s="108" t="s">
        <v>117</v>
      </c>
      <c r="C79" s="107">
        <v>0</v>
      </c>
      <c r="D79" s="107">
        <v>0</v>
      </c>
      <c r="E79" s="107">
        <v>1</v>
      </c>
      <c r="F79" s="107">
        <v>0</v>
      </c>
      <c r="G79" s="107">
        <v>0</v>
      </c>
      <c r="H79" s="107">
        <v>0</v>
      </c>
      <c r="I79" s="107">
        <v>0</v>
      </c>
      <c r="J79" s="107">
        <v>0</v>
      </c>
      <c r="K79" s="107">
        <v>0</v>
      </c>
      <c r="L79" s="107">
        <v>0</v>
      </c>
      <c r="M79" s="107">
        <v>0</v>
      </c>
      <c r="N79" s="107">
        <v>0</v>
      </c>
      <c r="O79" s="107">
        <v>0</v>
      </c>
      <c r="P79" s="107">
        <v>0</v>
      </c>
      <c r="Q79" s="107">
        <v>0</v>
      </c>
      <c r="R79" s="107">
        <v>1</v>
      </c>
      <c r="S79" s="107">
        <v>1</v>
      </c>
      <c r="T79" s="107">
        <v>0</v>
      </c>
    </row>
    <row r="80" spans="1:20" x14ac:dyDescent="0.25">
      <c r="A80" s="107">
        <v>77</v>
      </c>
      <c r="B80" s="108" t="s">
        <v>118</v>
      </c>
      <c r="C80" s="107">
        <v>0</v>
      </c>
      <c r="D80" s="107">
        <v>0</v>
      </c>
      <c r="E80" s="107">
        <v>1</v>
      </c>
      <c r="F80" s="107">
        <v>3</v>
      </c>
      <c r="G80" s="107">
        <v>0</v>
      </c>
      <c r="H80" s="107">
        <v>0</v>
      </c>
      <c r="I80" s="107">
        <v>0</v>
      </c>
      <c r="J80" s="107">
        <v>2</v>
      </c>
      <c r="K80" s="107">
        <v>0</v>
      </c>
      <c r="L80" s="107">
        <v>2</v>
      </c>
      <c r="M80" s="107">
        <v>1</v>
      </c>
      <c r="N80" s="107">
        <v>0</v>
      </c>
      <c r="O80" s="107">
        <v>0</v>
      </c>
      <c r="P80" s="107">
        <v>0</v>
      </c>
      <c r="Q80" s="107">
        <v>1</v>
      </c>
      <c r="R80" s="107">
        <v>0</v>
      </c>
      <c r="S80" s="107">
        <v>0</v>
      </c>
      <c r="T80" s="107">
        <v>0</v>
      </c>
    </row>
    <row r="81" spans="1:20" x14ac:dyDescent="0.25">
      <c r="A81" s="107">
        <v>78</v>
      </c>
      <c r="B81" s="108" t="s">
        <v>119</v>
      </c>
      <c r="C81" s="107">
        <v>0</v>
      </c>
      <c r="D81" s="107">
        <v>0</v>
      </c>
      <c r="E81" s="107">
        <v>1</v>
      </c>
      <c r="F81" s="107">
        <v>0</v>
      </c>
      <c r="G81" s="107">
        <v>0</v>
      </c>
      <c r="H81" s="107">
        <v>0</v>
      </c>
      <c r="I81" s="107">
        <v>0</v>
      </c>
      <c r="J81" s="107">
        <v>0</v>
      </c>
      <c r="K81" s="107">
        <v>0</v>
      </c>
      <c r="L81" s="107">
        <v>0</v>
      </c>
      <c r="M81" s="107">
        <v>0</v>
      </c>
      <c r="N81" s="107">
        <v>0</v>
      </c>
      <c r="O81" s="107">
        <v>0</v>
      </c>
      <c r="P81" s="107">
        <v>0</v>
      </c>
      <c r="Q81" s="107">
        <v>0</v>
      </c>
      <c r="R81" s="107">
        <v>0</v>
      </c>
      <c r="S81" s="107">
        <v>0</v>
      </c>
      <c r="T81" s="107">
        <v>0</v>
      </c>
    </row>
    <row r="82" spans="1:20" x14ac:dyDescent="0.25">
      <c r="A82" s="107">
        <v>79</v>
      </c>
      <c r="B82" s="108" t="s">
        <v>120</v>
      </c>
      <c r="C82" s="107">
        <v>0</v>
      </c>
      <c r="D82" s="107">
        <v>0</v>
      </c>
      <c r="E82" s="107">
        <v>1</v>
      </c>
      <c r="F82" s="107">
        <v>0</v>
      </c>
      <c r="G82" s="107">
        <v>0</v>
      </c>
      <c r="H82" s="107">
        <v>0</v>
      </c>
      <c r="I82" s="107">
        <v>0</v>
      </c>
      <c r="J82" s="107">
        <v>0</v>
      </c>
      <c r="K82" s="107">
        <v>0</v>
      </c>
      <c r="L82" s="107">
        <v>0</v>
      </c>
      <c r="M82" s="107">
        <v>0</v>
      </c>
      <c r="N82" s="107">
        <v>0</v>
      </c>
      <c r="O82" s="107">
        <v>0</v>
      </c>
      <c r="P82" s="107">
        <v>0</v>
      </c>
      <c r="Q82" s="107">
        <v>0</v>
      </c>
      <c r="R82" s="107">
        <v>0</v>
      </c>
      <c r="S82" s="107">
        <v>0</v>
      </c>
      <c r="T82" s="107">
        <v>0</v>
      </c>
    </row>
    <row r="83" spans="1:20" x14ac:dyDescent="0.25">
      <c r="A83" s="107">
        <v>80</v>
      </c>
      <c r="B83" s="108" t="s">
        <v>121</v>
      </c>
      <c r="C83" s="107">
        <v>0</v>
      </c>
      <c r="D83" s="107">
        <v>0</v>
      </c>
      <c r="E83" s="107">
        <v>0</v>
      </c>
      <c r="F83" s="107">
        <v>7</v>
      </c>
      <c r="G83" s="107">
        <v>0</v>
      </c>
      <c r="H83" s="107">
        <v>0</v>
      </c>
      <c r="I83" s="107">
        <v>0</v>
      </c>
      <c r="J83" s="107">
        <v>0</v>
      </c>
      <c r="K83" s="107">
        <v>1</v>
      </c>
      <c r="L83" s="107">
        <v>0</v>
      </c>
      <c r="M83" s="107">
        <v>0</v>
      </c>
      <c r="N83" s="107">
        <v>0</v>
      </c>
      <c r="O83" s="107">
        <v>0</v>
      </c>
      <c r="P83" s="107">
        <v>0</v>
      </c>
      <c r="Q83" s="107">
        <v>0</v>
      </c>
      <c r="R83" s="107">
        <v>0</v>
      </c>
      <c r="S83" s="107">
        <v>0</v>
      </c>
      <c r="T83" s="107">
        <v>0</v>
      </c>
    </row>
    <row r="84" spans="1:20" x14ac:dyDescent="0.25">
      <c r="A84" s="107">
        <v>81</v>
      </c>
      <c r="B84" s="108" t="s">
        <v>122</v>
      </c>
      <c r="C84" s="107">
        <v>0</v>
      </c>
      <c r="D84" s="107">
        <v>0</v>
      </c>
      <c r="E84" s="107">
        <v>0</v>
      </c>
      <c r="F84" s="107">
        <v>5</v>
      </c>
      <c r="G84" s="107">
        <v>0</v>
      </c>
      <c r="H84" s="107">
        <v>0</v>
      </c>
      <c r="I84" s="107">
        <v>0</v>
      </c>
      <c r="J84" s="107">
        <v>0</v>
      </c>
      <c r="K84" s="107">
        <v>0</v>
      </c>
      <c r="L84" s="107">
        <v>0</v>
      </c>
      <c r="M84" s="107">
        <v>1</v>
      </c>
      <c r="N84" s="107">
        <v>2</v>
      </c>
      <c r="O84" s="107">
        <v>0</v>
      </c>
      <c r="P84" s="107">
        <v>0</v>
      </c>
      <c r="Q84" s="107">
        <v>0</v>
      </c>
      <c r="R84" s="107">
        <v>0</v>
      </c>
      <c r="S84" s="107">
        <v>0</v>
      </c>
      <c r="T84" s="107">
        <v>0</v>
      </c>
    </row>
    <row r="85" spans="1:20" x14ac:dyDescent="0.25">
      <c r="A85" s="107">
        <v>82</v>
      </c>
      <c r="B85" s="108" t="s">
        <v>123</v>
      </c>
      <c r="C85" s="107">
        <v>0</v>
      </c>
      <c r="D85" s="107">
        <v>0</v>
      </c>
      <c r="E85" s="107">
        <v>0</v>
      </c>
      <c r="F85" s="107">
        <v>3</v>
      </c>
      <c r="G85" s="107">
        <v>0</v>
      </c>
      <c r="H85" s="107">
        <v>2</v>
      </c>
      <c r="I85" s="107">
        <v>0</v>
      </c>
      <c r="J85" s="107">
        <v>0</v>
      </c>
      <c r="K85" s="107">
        <v>1</v>
      </c>
      <c r="L85" s="107">
        <v>0</v>
      </c>
      <c r="M85" s="107">
        <v>3</v>
      </c>
      <c r="N85" s="107">
        <v>1</v>
      </c>
      <c r="O85" s="107">
        <v>0</v>
      </c>
      <c r="P85" s="107">
        <v>1</v>
      </c>
      <c r="Q85" s="107">
        <v>0</v>
      </c>
      <c r="R85" s="107">
        <v>1</v>
      </c>
      <c r="S85" s="107">
        <v>0</v>
      </c>
      <c r="T85" s="107">
        <v>1</v>
      </c>
    </row>
    <row r="86" spans="1:20" x14ac:dyDescent="0.25">
      <c r="A86" s="107">
        <v>83</v>
      </c>
      <c r="B86" s="108" t="s">
        <v>124</v>
      </c>
      <c r="C86" s="107">
        <v>0</v>
      </c>
      <c r="D86" s="107">
        <v>0</v>
      </c>
      <c r="E86" s="107">
        <v>0</v>
      </c>
      <c r="F86" s="107">
        <v>3</v>
      </c>
      <c r="G86" s="107">
        <v>1</v>
      </c>
      <c r="H86" s="107">
        <v>1</v>
      </c>
      <c r="I86" s="107">
        <v>0</v>
      </c>
      <c r="J86" s="107">
        <v>0</v>
      </c>
      <c r="K86" s="107">
        <v>0</v>
      </c>
      <c r="L86" s="107">
        <v>0</v>
      </c>
      <c r="M86" s="107">
        <v>2</v>
      </c>
      <c r="N86" s="107">
        <v>0</v>
      </c>
      <c r="O86" s="107">
        <v>0</v>
      </c>
      <c r="P86" s="107">
        <v>0</v>
      </c>
      <c r="Q86" s="107">
        <v>0</v>
      </c>
      <c r="R86" s="107">
        <v>0</v>
      </c>
      <c r="S86" s="107">
        <v>0</v>
      </c>
      <c r="T86" s="107">
        <v>0</v>
      </c>
    </row>
    <row r="87" spans="1:20" x14ac:dyDescent="0.25">
      <c r="A87" s="107">
        <v>84</v>
      </c>
      <c r="B87" s="108" t="s">
        <v>125</v>
      </c>
      <c r="C87" s="107">
        <v>0</v>
      </c>
      <c r="D87" s="107">
        <v>0</v>
      </c>
      <c r="E87" s="107">
        <v>0</v>
      </c>
      <c r="F87" s="107">
        <v>2</v>
      </c>
      <c r="G87" s="107">
        <v>0</v>
      </c>
      <c r="H87" s="107">
        <v>2</v>
      </c>
      <c r="I87" s="107">
        <v>0</v>
      </c>
      <c r="J87" s="107">
        <v>0</v>
      </c>
      <c r="K87" s="107">
        <v>0</v>
      </c>
      <c r="L87" s="107">
        <v>2</v>
      </c>
      <c r="M87" s="107">
        <v>0</v>
      </c>
      <c r="N87" s="107">
        <v>0</v>
      </c>
      <c r="O87" s="107">
        <v>0</v>
      </c>
      <c r="P87" s="107">
        <v>2</v>
      </c>
      <c r="Q87" s="107">
        <v>0</v>
      </c>
      <c r="R87" s="107">
        <v>0</v>
      </c>
      <c r="S87" s="107">
        <v>0</v>
      </c>
      <c r="T87" s="107">
        <v>0</v>
      </c>
    </row>
    <row r="88" spans="1:20" x14ac:dyDescent="0.25">
      <c r="A88" s="107">
        <v>85</v>
      </c>
      <c r="B88" s="108" t="s">
        <v>126</v>
      </c>
      <c r="C88" s="107">
        <v>0</v>
      </c>
      <c r="D88" s="107">
        <v>0</v>
      </c>
      <c r="E88" s="107">
        <v>0</v>
      </c>
      <c r="F88" s="107">
        <v>1</v>
      </c>
      <c r="G88" s="107">
        <v>1</v>
      </c>
      <c r="H88" s="107">
        <v>0</v>
      </c>
      <c r="I88" s="107">
        <v>0</v>
      </c>
      <c r="J88" s="107">
        <v>0</v>
      </c>
      <c r="K88" s="107">
        <v>0</v>
      </c>
      <c r="L88" s="107">
        <v>0</v>
      </c>
      <c r="M88" s="107">
        <v>0</v>
      </c>
      <c r="N88" s="107">
        <v>0</v>
      </c>
      <c r="O88" s="107">
        <v>0</v>
      </c>
      <c r="P88" s="107">
        <v>0</v>
      </c>
      <c r="Q88" s="107">
        <v>0</v>
      </c>
      <c r="R88" s="107">
        <v>0</v>
      </c>
      <c r="S88" s="107">
        <v>0</v>
      </c>
      <c r="T88" s="107">
        <v>0</v>
      </c>
    </row>
    <row r="89" spans="1:20" x14ac:dyDescent="0.25">
      <c r="A89" s="107">
        <v>86</v>
      </c>
      <c r="B89" s="108" t="s">
        <v>127</v>
      </c>
      <c r="C89" s="107">
        <v>0</v>
      </c>
      <c r="D89" s="107">
        <v>0</v>
      </c>
      <c r="E89" s="107">
        <v>0</v>
      </c>
      <c r="F89" s="107">
        <v>1</v>
      </c>
      <c r="G89" s="107">
        <v>0</v>
      </c>
      <c r="H89" s="107">
        <v>0</v>
      </c>
      <c r="I89" s="107">
        <v>0</v>
      </c>
      <c r="J89" s="107">
        <v>0</v>
      </c>
      <c r="K89" s="107">
        <v>2</v>
      </c>
      <c r="L89" s="107">
        <v>0</v>
      </c>
      <c r="M89" s="107">
        <v>0</v>
      </c>
      <c r="N89" s="107">
        <v>0</v>
      </c>
      <c r="O89" s="107">
        <v>0</v>
      </c>
      <c r="P89" s="107">
        <v>0</v>
      </c>
      <c r="Q89" s="107">
        <v>0</v>
      </c>
      <c r="R89" s="107">
        <v>0</v>
      </c>
      <c r="S89" s="107">
        <v>1</v>
      </c>
      <c r="T89" s="107">
        <v>1</v>
      </c>
    </row>
    <row r="90" spans="1:20" x14ac:dyDescent="0.25">
      <c r="A90" s="107">
        <v>87</v>
      </c>
      <c r="B90" s="108" t="s">
        <v>128</v>
      </c>
      <c r="C90" s="107">
        <v>0</v>
      </c>
      <c r="D90" s="107">
        <v>0</v>
      </c>
      <c r="E90" s="107">
        <v>0</v>
      </c>
      <c r="F90" s="107">
        <v>1</v>
      </c>
      <c r="G90" s="107">
        <v>0</v>
      </c>
      <c r="H90" s="107">
        <v>0</v>
      </c>
      <c r="I90" s="107">
        <v>0</v>
      </c>
      <c r="J90" s="107">
        <v>0</v>
      </c>
      <c r="K90" s="107">
        <v>4</v>
      </c>
      <c r="L90" s="107">
        <v>0</v>
      </c>
      <c r="M90" s="107">
        <v>1</v>
      </c>
      <c r="N90" s="107">
        <v>0</v>
      </c>
      <c r="O90" s="107">
        <v>0</v>
      </c>
      <c r="P90" s="107">
        <v>0</v>
      </c>
      <c r="Q90" s="107">
        <v>0</v>
      </c>
      <c r="R90" s="107">
        <v>0</v>
      </c>
      <c r="S90" s="107">
        <v>0</v>
      </c>
      <c r="T90" s="107">
        <v>0</v>
      </c>
    </row>
    <row r="91" spans="1:20" x14ac:dyDescent="0.25">
      <c r="A91" s="107">
        <v>88</v>
      </c>
      <c r="B91" s="108" t="s">
        <v>129</v>
      </c>
      <c r="C91" s="107">
        <v>0</v>
      </c>
      <c r="D91" s="107">
        <v>0</v>
      </c>
      <c r="E91" s="107">
        <v>0</v>
      </c>
      <c r="F91" s="107">
        <v>1</v>
      </c>
      <c r="G91" s="107">
        <v>0</v>
      </c>
      <c r="H91" s="107">
        <v>0</v>
      </c>
      <c r="I91" s="107">
        <v>1</v>
      </c>
      <c r="J91" s="107">
        <v>0</v>
      </c>
      <c r="K91" s="107">
        <v>1</v>
      </c>
      <c r="L91" s="107">
        <v>0</v>
      </c>
      <c r="M91" s="107">
        <v>1</v>
      </c>
      <c r="N91" s="107">
        <v>0</v>
      </c>
      <c r="O91" s="107">
        <v>0</v>
      </c>
      <c r="P91" s="107">
        <v>0</v>
      </c>
      <c r="Q91" s="107">
        <v>0</v>
      </c>
      <c r="R91" s="107">
        <v>0</v>
      </c>
      <c r="S91" s="107">
        <v>0</v>
      </c>
      <c r="T91" s="107">
        <v>0</v>
      </c>
    </row>
    <row r="92" spans="1:20" x14ac:dyDescent="0.25">
      <c r="A92" s="107">
        <v>89</v>
      </c>
      <c r="B92" s="108" t="s">
        <v>130</v>
      </c>
      <c r="C92" s="107">
        <v>0</v>
      </c>
      <c r="D92" s="107">
        <v>0</v>
      </c>
      <c r="E92" s="107">
        <v>0</v>
      </c>
      <c r="F92" s="107">
        <v>1</v>
      </c>
      <c r="G92" s="107">
        <v>0</v>
      </c>
      <c r="H92" s="107">
        <v>0</v>
      </c>
      <c r="I92" s="107">
        <v>0</v>
      </c>
      <c r="J92" s="107">
        <v>0</v>
      </c>
      <c r="K92" s="107">
        <v>0</v>
      </c>
      <c r="L92" s="107">
        <v>0</v>
      </c>
      <c r="M92" s="107">
        <v>0</v>
      </c>
      <c r="N92" s="107">
        <v>0</v>
      </c>
      <c r="O92" s="107">
        <v>0</v>
      </c>
      <c r="P92" s="107">
        <v>0</v>
      </c>
      <c r="Q92" s="107">
        <v>0</v>
      </c>
      <c r="R92" s="107">
        <v>0</v>
      </c>
      <c r="S92" s="107">
        <v>0</v>
      </c>
      <c r="T92" s="107">
        <v>0</v>
      </c>
    </row>
    <row r="93" spans="1:20" x14ac:dyDescent="0.25">
      <c r="A93" s="107">
        <v>90</v>
      </c>
      <c r="B93" s="108" t="s">
        <v>131</v>
      </c>
      <c r="C93" s="107">
        <v>0</v>
      </c>
      <c r="D93" s="107">
        <v>0</v>
      </c>
      <c r="E93" s="107">
        <v>0</v>
      </c>
      <c r="F93" s="107">
        <v>1</v>
      </c>
      <c r="G93" s="107">
        <v>0</v>
      </c>
      <c r="H93" s="107">
        <v>0</v>
      </c>
      <c r="I93" s="107">
        <v>0</v>
      </c>
      <c r="J93" s="107">
        <v>0</v>
      </c>
      <c r="K93" s="107">
        <v>0</v>
      </c>
      <c r="L93" s="107">
        <v>0</v>
      </c>
      <c r="M93" s="107">
        <v>0</v>
      </c>
      <c r="N93" s="107">
        <v>0</v>
      </c>
      <c r="O93" s="107">
        <v>0</v>
      </c>
      <c r="P93" s="107">
        <v>0</v>
      </c>
      <c r="Q93" s="107">
        <v>0</v>
      </c>
      <c r="R93" s="107">
        <v>0</v>
      </c>
      <c r="S93" s="107">
        <v>0</v>
      </c>
      <c r="T93" s="107">
        <v>0</v>
      </c>
    </row>
    <row r="94" spans="1:20" x14ac:dyDescent="0.25">
      <c r="A94" s="107">
        <v>91</v>
      </c>
      <c r="B94" s="108" t="s">
        <v>132</v>
      </c>
      <c r="C94" s="107">
        <v>0</v>
      </c>
      <c r="D94" s="107">
        <v>0</v>
      </c>
      <c r="E94" s="107">
        <v>0</v>
      </c>
      <c r="F94" s="107">
        <v>1</v>
      </c>
      <c r="G94" s="107">
        <v>0</v>
      </c>
      <c r="H94" s="107">
        <v>0</v>
      </c>
      <c r="I94" s="107">
        <v>0</v>
      </c>
      <c r="J94" s="107">
        <v>0</v>
      </c>
      <c r="K94" s="107">
        <v>0</v>
      </c>
      <c r="L94" s="107">
        <v>1</v>
      </c>
      <c r="M94" s="107">
        <v>0</v>
      </c>
      <c r="N94" s="107">
        <v>2</v>
      </c>
      <c r="O94" s="107">
        <v>0</v>
      </c>
      <c r="P94" s="107">
        <v>0</v>
      </c>
      <c r="Q94" s="107">
        <v>1</v>
      </c>
      <c r="R94" s="107">
        <v>0</v>
      </c>
      <c r="S94" s="107">
        <v>1</v>
      </c>
      <c r="T94" s="107">
        <v>0</v>
      </c>
    </row>
    <row r="95" spans="1:20" x14ac:dyDescent="0.25">
      <c r="A95" s="107">
        <v>92</v>
      </c>
      <c r="B95" s="108" t="s">
        <v>133</v>
      </c>
      <c r="C95" s="107">
        <v>0</v>
      </c>
      <c r="D95" s="107">
        <v>0</v>
      </c>
      <c r="E95" s="107">
        <v>0</v>
      </c>
      <c r="F95" s="107">
        <v>1</v>
      </c>
      <c r="G95" s="107">
        <v>0</v>
      </c>
      <c r="H95" s="107">
        <v>0</v>
      </c>
      <c r="I95" s="107">
        <v>2</v>
      </c>
      <c r="J95" s="107">
        <v>0</v>
      </c>
      <c r="K95" s="107">
        <v>0</v>
      </c>
      <c r="L95" s="107">
        <v>0</v>
      </c>
      <c r="M95" s="107">
        <v>0</v>
      </c>
      <c r="N95" s="107">
        <v>1</v>
      </c>
      <c r="O95" s="107">
        <v>0</v>
      </c>
      <c r="P95" s="107">
        <v>0</v>
      </c>
      <c r="Q95" s="107">
        <v>0</v>
      </c>
      <c r="R95" s="107">
        <v>0</v>
      </c>
      <c r="S95" s="107">
        <v>0</v>
      </c>
      <c r="T95" s="107">
        <v>0</v>
      </c>
    </row>
    <row r="96" spans="1:20" x14ac:dyDescent="0.25">
      <c r="A96" s="107">
        <v>93</v>
      </c>
      <c r="B96" s="108" t="s">
        <v>134</v>
      </c>
      <c r="C96" s="107">
        <v>0</v>
      </c>
      <c r="D96" s="107">
        <v>0</v>
      </c>
      <c r="E96" s="107">
        <v>0</v>
      </c>
      <c r="F96" s="107">
        <v>1</v>
      </c>
      <c r="G96" s="107">
        <v>0</v>
      </c>
      <c r="H96" s="107">
        <v>1</v>
      </c>
      <c r="I96" s="107">
        <v>0</v>
      </c>
      <c r="J96" s="107">
        <v>0</v>
      </c>
      <c r="K96" s="107">
        <v>0</v>
      </c>
      <c r="L96" s="107">
        <v>0</v>
      </c>
      <c r="M96" s="107">
        <v>1</v>
      </c>
      <c r="N96" s="107">
        <v>0</v>
      </c>
      <c r="O96" s="107">
        <v>0</v>
      </c>
      <c r="P96" s="107">
        <v>2</v>
      </c>
      <c r="Q96" s="107">
        <v>2</v>
      </c>
      <c r="R96" s="107">
        <v>0</v>
      </c>
      <c r="S96" s="107">
        <v>2</v>
      </c>
      <c r="T96" s="107">
        <v>3</v>
      </c>
    </row>
    <row r="97" spans="1:20" x14ac:dyDescent="0.25">
      <c r="A97" s="107">
        <v>94</v>
      </c>
      <c r="B97" s="108" t="s">
        <v>135</v>
      </c>
      <c r="C97" s="107">
        <v>0</v>
      </c>
      <c r="D97" s="107">
        <v>0</v>
      </c>
      <c r="E97" s="107">
        <v>0</v>
      </c>
      <c r="F97" s="107">
        <v>1</v>
      </c>
      <c r="G97" s="107">
        <v>0</v>
      </c>
      <c r="H97" s="107">
        <v>0</v>
      </c>
      <c r="I97" s="107">
        <v>0</v>
      </c>
      <c r="J97" s="107">
        <v>0</v>
      </c>
      <c r="K97" s="107">
        <v>0</v>
      </c>
      <c r="L97" s="107">
        <v>0</v>
      </c>
      <c r="M97" s="107">
        <v>1</v>
      </c>
      <c r="N97" s="107">
        <v>0</v>
      </c>
      <c r="O97" s="107">
        <v>0</v>
      </c>
      <c r="P97" s="107">
        <v>0</v>
      </c>
      <c r="Q97" s="107">
        <v>0</v>
      </c>
      <c r="R97" s="107">
        <v>0</v>
      </c>
      <c r="S97" s="107">
        <v>0</v>
      </c>
      <c r="T97" s="107">
        <v>0</v>
      </c>
    </row>
    <row r="98" spans="1:20" x14ac:dyDescent="0.25">
      <c r="A98" s="107">
        <v>95</v>
      </c>
      <c r="B98" s="108" t="s">
        <v>136</v>
      </c>
      <c r="C98" s="107">
        <v>0</v>
      </c>
      <c r="D98" s="107">
        <v>0</v>
      </c>
      <c r="E98" s="107">
        <v>0</v>
      </c>
      <c r="F98" s="107">
        <v>1</v>
      </c>
      <c r="G98" s="107">
        <v>0</v>
      </c>
      <c r="H98" s="107">
        <v>0</v>
      </c>
      <c r="I98" s="107">
        <v>0</v>
      </c>
      <c r="J98" s="107">
        <v>0</v>
      </c>
      <c r="K98" s="107">
        <v>0</v>
      </c>
      <c r="L98" s="107">
        <v>0</v>
      </c>
      <c r="M98" s="107">
        <v>0</v>
      </c>
      <c r="N98" s="107">
        <v>0</v>
      </c>
      <c r="O98" s="107">
        <v>0</v>
      </c>
      <c r="P98" s="107">
        <v>0</v>
      </c>
      <c r="Q98" s="107">
        <v>0</v>
      </c>
      <c r="R98" s="107">
        <v>0</v>
      </c>
      <c r="S98" s="107">
        <v>0</v>
      </c>
      <c r="T98" s="107">
        <v>0</v>
      </c>
    </row>
    <row r="99" spans="1:20" x14ac:dyDescent="0.25">
      <c r="A99" s="107">
        <v>96</v>
      </c>
      <c r="B99" s="108" t="s">
        <v>137</v>
      </c>
      <c r="C99" s="107">
        <v>0</v>
      </c>
      <c r="D99" s="107">
        <v>0</v>
      </c>
      <c r="E99" s="107">
        <v>0</v>
      </c>
      <c r="F99" s="107">
        <v>0</v>
      </c>
      <c r="G99" s="107">
        <v>1</v>
      </c>
      <c r="H99" s="107">
        <v>0</v>
      </c>
      <c r="I99" s="107">
        <v>0</v>
      </c>
      <c r="J99" s="107">
        <v>0</v>
      </c>
      <c r="K99" s="107">
        <v>0</v>
      </c>
      <c r="L99" s="107">
        <v>1</v>
      </c>
      <c r="M99" s="107">
        <v>0</v>
      </c>
      <c r="N99" s="107">
        <v>0</v>
      </c>
      <c r="O99" s="107">
        <v>0</v>
      </c>
      <c r="P99" s="107">
        <v>0</v>
      </c>
      <c r="Q99" s="107">
        <v>1</v>
      </c>
      <c r="R99" s="107">
        <v>0</v>
      </c>
      <c r="S99" s="107">
        <v>0</v>
      </c>
      <c r="T99" s="107">
        <v>0</v>
      </c>
    </row>
    <row r="100" spans="1:20" x14ac:dyDescent="0.25">
      <c r="A100" s="107">
        <v>97</v>
      </c>
      <c r="B100" s="108" t="s">
        <v>138</v>
      </c>
      <c r="C100" s="107">
        <v>0</v>
      </c>
      <c r="D100" s="107">
        <v>0</v>
      </c>
      <c r="E100" s="107">
        <v>0</v>
      </c>
      <c r="F100" s="107">
        <v>0</v>
      </c>
      <c r="G100" s="107">
        <v>1</v>
      </c>
      <c r="H100" s="107">
        <v>1</v>
      </c>
      <c r="I100" s="107">
        <v>0</v>
      </c>
      <c r="J100" s="107">
        <v>0</v>
      </c>
      <c r="K100" s="107">
        <v>0</v>
      </c>
      <c r="L100" s="107">
        <v>0</v>
      </c>
      <c r="M100" s="107">
        <v>1</v>
      </c>
      <c r="N100" s="107">
        <v>0</v>
      </c>
      <c r="O100" s="107">
        <v>0</v>
      </c>
      <c r="P100" s="107">
        <v>0</v>
      </c>
      <c r="Q100" s="107">
        <v>0</v>
      </c>
      <c r="R100" s="107">
        <v>0</v>
      </c>
      <c r="S100" s="107">
        <v>0</v>
      </c>
      <c r="T100" s="107">
        <v>0</v>
      </c>
    </row>
    <row r="101" spans="1:20" x14ac:dyDescent="0.25">
      <c r="A101" s="107">
        <v>98</v>
      </c>
      <c r="B101" s="108" t="s">
        <v>139</v>
      </c>
      <c r="C101" s="107">
        <v>0</v>
      </c>
      <c r="D101" s="107">
        <v>0</v>
      </c>
      <c r="E101" s="107">
        <v>0</v>
      </c>
      <c r="F101" s="107">
        <v>0</v>
      </c>
      <c r="G101" s="107">
        <v>1</v>
      </c>
      <c r="H101" s="107">
        <v>0</v>
      </c>
      <c r="I101" s="107">
        <v>0</v>
      </c>
      <c r="J101" s="107">
        <v>0</v>
      </c>
      <c r="K101" s="107">
        <v>0</v>
      </c>
      <c r="L101" s="107">
        <v>0</v>
      </c>
      <c r="M101" s="107">
        <v>0</v>
      </c>
      <c r="N101" s="107">
        <v>0</v>
      </c>
      <c r="O101" s="107">
        <v>0</v>
      </c>
      <c r="P101" s="107">
        <v>0</v>
      </c>
      <c r="Q101" s="107">
        <v>0</v>
      </c>
      <c r="R101" s="107">
        <v>0</v>
      </c>
      <c r="S101" s="107">
        <v>0</v>
      </c>
      <c r="T101" s="107">
        <v>0</v>
      </c>
    </row>
    <row r="102" spans="1:20" x14ac:dyDescent="0.25">
      <c r="A102" s="107">
        <v>99</v>
      </c>
      <c r="B102" s="108" t="s">
        <v>140</v>
      </c>
      <c r="C102" s="107">
        <v>0</v>
      </c>
      <c r="D102" s="107">
        <v>0</v>
      </c>
      <c r="E102" s="107">
        <v>0</v>
      </c>
      <c r="F102" s="107">
        <v>0</v>
      </c>
      <c r="G102" s="107">
        <v>1</v>
      </c>
      <c r="H102" s="107">
        <v>0</v>
      </c>
      <c r="I102" s="107">
        <v>0</v>
      </c>
      <c r="J102" s="107">
        <v>0</v>
      </c>
      <c r="K102" s="107">
        <v>0</v>
      </c>
      <c r="L102" s="107">
        <v>0</v>
      </c>
      <c r="M102" s="107">
        <v>0</v>
      </c>
      <c r="N102" s="107">
        <v>0</v>
      </c>
      <c r="O102" s="107">
        <v>0</v>
      </c>
      <c r="P102" s="107">
        <v>0</v>
      </c>
      <c r="Q102" s="107">
        <v>0</v>
      </c>
      <c r="R102" s="107">
        <v>0</v>
      </c>
      <c r="S102" s="107">
        <v>0</v>
      </c>
      <c r="T102" s="107">
        <v>0</v>
      </c>
    </row>
    <row r="103" spans="1:20" x14ac:dyDescent="0.25">
      <c r="A103" s="107">
        <v>100</v>
      </c>
      <c r="B103" s="108" t="s">
        <v>141</v>
      </c>
      <c r="C103" s="107">
        <v>0</v>
      </c>
      <c r="D103" s="107">
        <v>0</v>
      </c>
      <c r="E103" s="107">
        <v>0</v>
      </c>
      <c r="F103" s="107">
        <v>0</v>
      </c>
      <c r="G103" s="107">
        <v>1</v>
      </c>
      <c r="H103" s="107">
        <v>0</v>
      </c>
      <c r="I103" s="107">
        <v>0</v>
      </c>
      <c r="J103" s="107">
        <v>0</v>
      </c>
      <c r="K103" s="107">
        <v>0</v>
      </c>
      <c r="L103" s="107">
        <v>0</v>
      </c>
      <c r="M103" s="107">
        <v>0</v>
      </c>
      <c r="N103" s="107">
        <v>0</v>
      </c>
      <c r="O103" s="107">
        <v>0</v>
      </c>
      <c r="P103" s="107">
        <v>0</v>
      </c>
      <c r="Q103" s="107">
        <v>0</v>
      </c>
      <c r="R103" s="107">
        <v>0</v>
      </c>
      <c r="S103" s="107">
        <v>1</v>
      </c>
      <c r="T103" s="107">
        <v>0</v>
      </c>
    </row>
    <row r="104" spans="1:20" x14ac:dyDescent="0.25">
      <c r="A104" s="107">
        <v>101</v>
      </c>
      <c r="B104" s="108" t="s">
        <v>142</v>
      </c>
      <c r="C104" s="107">
        <v>0</v>
      </c>
      <c r="D104" s="107">
        <v>0</v>
      </c>
      <c r="E104" s="107">
        <v>0</v>
      </c>
      <c r="F104" s="107">
        <v>0</v>
      </c>
      <c r="G104" s="107">
        <v>1</v>
      </c>
      <c r="H104" s="107">
        <v>0</v>
      </c>
      <c r="I104" s="107">
        <v>0</v>
      </c>
      <c r="J104" s="107">
        <v>0</v>
      </c>
      <c r="K104" s="107">
        <v>0</v>
      </c>
      <c r="L104" s="107">
        <v>1</v>
      </c>
      <c r="M104" s="107">
        <v>0</v>
      </c>
      <c r="N104" s="107">
        <v>0</v>
      </c>
      <c r="O104" s="107">
        <v>0</v>
      </c>
      <c r="P104" s="107">
        <v>0</v>
      </c>
      <c r="Q104" s="107">
        <v>1</v>
      </c>
      <c r="R104" s="107">
        <v>0</v>
      </c>
      <c r="S104" s="107">
        <v>0</v>
      </c>
      <c r="T104" s="107">
        <v>0</v>
      </c>
    </row>
    <row r="105" spans="1:20" x14ac:dyDescent="0.25">
      <c r="A105" s="107">
        <v>102</v>
      </c>
      <c r="B105" s="108" t="s">
        <v>143</v>
      </c>
      <c r="C105" s="107">
        <v>0</v>
      </c>
      <c r="D105" s="107">
        <v>0</v>
      </c>
      <c r="E105" s="107">
        <v>0</v>
      </c>
      <c r="F105" s="107">
        <v>0</v>
      </c>
      <c r="G105" s="107">
        <v>1</v>
      </c>
      <c r="H105" s="107">
        <v>0</v>
      </c>
      <c r="I105" s="107">
        <v>0</v>
      </c>
      <c r="J105" s="107">
        <v>0</v>
      </c>
      <c r="K105" s="107">
        <v>0</v>
      </c>
      <c r="L105" s="107">
        <v>0</v>
      </c>
      <c r="M105" s="107">
        <v>0</v>
      </c>
      <c r="N105" s="107">
        <v>0</v>
      </c>
      <c r="O105" s="107">
        <v>0</v>
      </c>
      <c r="P105" s="107">
        <v>0</v>
      </c>
      <c r="Q105" s="107">
        <v>0</v>
      </c>
      <c r="R105" s="107">
        <v>0</v>
      </c>
      <c r="S105" s="107">
        <v>0</v>
      </c>
      <c r="T105" s="107">
        <v>0</v>
      </c>
    </row>
    <row r="106" spans="1:20" x14ac:dyDescent="0.25">
      <c r="A106" s="107">
        <v>103</v>
      </c>
      <c r="B106" s="108" t="s">
        <v>144</v>
      </c>
      <c r="C106" s="107">
        <v>0</v>
      </c>
      <c r="D106" s="107">
        <v>0</v>
      </c>
      <c r="E106" s="107">
        <v>0</v>
      </c>
      <c r="F106" s="107">
        <v>0</v>
      </c>
      <c r="G106" s="107">
        <v>0</v>
      </c>
      <c r="H106" s="107">
        <v>2</v>
      </c>
      <c r="I106" s="107">
        <v>0</v>
      </c>
      <c r="J106" s="107">
        <v>1</v>
      </c>
      <c r="K106" s="107">
        <v>0</v>
      </c>
      <c r="L106" s="107">
        <v>0</v>
      </c>
      <c r="M106" s="107">
        <v>2</v>
      </c>
      <c r="N106" s="107">
        <v>0</v>
      </c>
      <c r="O106" s="107">
        <v>0</v>
      </c>
      <c r="P106" s="107">
        <v>0</v>
      </c>
      <c r="Q106" s="107">
        <v>0</v>
      </c>
      <c r="R106" s="107">
        <v>0</v>
      </c>
      <c r="S106" s="107">
        <v>1</v>
      </c>
      <c r="T106" s="107">
        <v>2</v>
      </c>
    </row>
    <row r="107" spans="1:20" x14ac:dyDescent="0.25">
      <c r="A107" s="107">
        <v>104</v>
      </c>
      <c r="B107" s="108" t="s">
        <v>145</v>
      </c>
      <c r="C107" s="107">
        <v>0</v>
      </c>
      <c r="D107" s="107">
        <v>0</v>
      </c>
      <c r="E107" s="107">
        <v>0</v>
      </c>
      <c r="F107" s="107">
        <v>0</v>
      </c>
      <c r="G107" s="107">
        <v>0</v>
      </c>
      <c r="H107" s="107">
        <v>1</v>
      </c>
      <c r="I107" s="107">
        <v>0</v>
      </c>
      <c r="J107" s="107">
        <v>0</v>
      </c>
      <c r="K107" s="107">
        <v>0</v>
      </c>
      <c r="L107" s="107">
        <v>0</v>
      </c>
      <c r="M107" s="107">
        <v>0</v>
      </c>
      <c r="N107" s="107">
        <v>0</v>
      </c>
      <c r="O107" s="107">
        <v>0</v>
      </c>
      <c r="P107" s="107">
        <v>0</v>
      </c>
      <c r="Q107" s="107">
        <v>0</v>
      </c>
      <c r="R107" s="107">
        <v>0</v>
      </c>
      <c r="S107" s="107">
        <v>0</v>
      </c>
      <c r="T107" s="107">
        <v>0</v>
      </c>
    </row>
    <row r="108" spans="1:20" x14ac:dyDescent="0.25">
      <c r="A108" s="107">
        <v>105</v>
      </c>
      <c r="B108" s="108" t="s">
        <v>146</v>
      </c>
      <c r="C108" s="107">
        <v>0</v>
      </c>
      <c r="D108" s="107">
        <v>0</v>
      </c>
      <c r="E108" s="107">
        <v>0</v>
      </c>
      <c r="F108" s="107">
        <v>0</v>
      </c>
      <c r="G108" s="107">
        <v>0</v>
      </c>
      <c r="H108" s="107">
        <v>1</v>
      </c>
      <c r="I108" s="107">
        <v>1</v>
      </c>
      <c r="J108" s="107">
        <v>0</v>
      </c>
      <c r="K108" s="107">
        <v>0</v>
      </c>
      <c r="L108" s="107">
        <v>1</v>
      </c>
      <c r="M108" s="107">
        <v>0</v>
      </c>
      <c r="N108" s="107">
        <v>0</v>
      </c>
      <c r="O108" s="107">
        <v>2</v>
      </c>
      <c r="P108" s="107">
        <v>0</v>
      </c>
      <c r="Q108" s="107">
        <v>0</v>
      </c>
      <c r="R108" s="107">
        <v>0</v>
      </c>
      <c r="S108" s="107">
        <v>0</v>
      </c>
      <c r="T108" s="107">
        <v>0</v>
      </c>
    </row>
    <row r="109" spans="1:20" x14ac:dyDescent="0.25">
      <c r="A109" s="107">
        <v>106</v>
      </c>
      <c r="B109" s="108" t="s">
        <v>147</v>
      </c>
      <c r="C109" s="107">
        <v>0</v>
      </c>
      <c r="D109" s="107">
        <v>0</v>
      </c>
      <c r="E109" s="107">
        <v>0</v>
      </c>
      <c r="F109" s="107">
        <v>0</v>
      </c>
      <c r="G109" s="107">
        <v>0</v>
      </c>
      <c r="H109" s="107">
        <v>0</v>
      </c>
      <c r="I109" s="107">
        <v>3</v>
      </c>
      <c r="J109" s="107">
        <v>0</v>
      </c>
      <c r="K109" s="107">
        <v>0</v>
      </c>
      <c r="L109" s="107">
        <v>0</v>
      </c>
      <c r="M109" s="107">
        <v>7</v>
      </c>
      <c r="N109" s="107">
        <v>0</v>
      </c>
      <c r="O109" s="107">
        <v>0</v>
      </c>
      <c r="P109" s="107">
        <v>0</v>
      </c>
      <c r="Q109" s="107">
        <v>0</v>
      </c>
      <c r="R109" s="107">
        <v>0</v>
      </c>
      <c r="S109" s="107">
        <v>0</v>
      </c>
      <c r="T109" s="107">
        <v>0</v>
      </c>
    </row>
    <row r="110" spans="1:20" x14ac:dyDescent="0.25">
      <c r="A110" s="107">
        <v>107</v>
      </c>
      <c r="B110" s="108" t="s">
        <v>148</v>
      </c>
      <c r="C110" s="107">
        <v>0</v>
      </c>
      <c r="D110" s="107">
        <v>0</v>
      </c>
      <c r="E110" s="107">
        <v>0</v>
      </c>
      <c r="F110" s="107">
        <v>0</v>
      </c>
      <c r="G110" s="107">
        <v>0</v>
      </c>
      <c r="H110" s="107">
        <v>0</v>
      </c>
      <c r="I110" s="107">
        <v>2</v>
      </c>
      <c r="J110" s="107">
        <v>1</v>
      </c>
      <c r="K110" s="107">
        <v>0</v>
      </c>
      <c r="L110" s="107">
        <v>0</v>
      </c>
      <c r="M110" s="107">
        <v>0</v>
      </c>
      <c r="N110" s="107">
        <v>0</v>
      </c>
      <c r="O110" s="107">
        <v>0</v>
      </c>
      <c r="P110" s="107">
        <v>1</v>
      </c>
      <c r="Q110" s="107">
        <v>1</v>
      </c>
      <c r="R110" s="107">
        <v>0</v>
      </c>
      <c r="S110" s="107">
        <v>1</v>
      </c>
      <c r="T110" s="107">
        <v>1</v>
      </c>
    </row>
    <row r="111" spans="1:20" x14ac:dyDescent="0.25">
      <c r="A111" s="107">
        <v>108</v>
      </c>
      <c r="B111" s="108" t="s">
        <v>149</v>
      </c>
      <c r="C111" s="107">
        <v>0</v>
      </c>
      <c r="D111" s="107">
        <v>0</v>
      </c>
      <c r="E111" s="107">
        <v>0</v>
      </c>
      <c r="F111" s="107">
        <v>0</v>
      </c>
      <c r="G111" s="107">
        <v>0</v>
      </c>
      <c r="H111" s="107">
        <v>0</v>
      </c>
      <c r="I111" s="107">
        <v>1</v>
      </c>
      <c r="J111" s="107">
        <v>0</v>
      </c>
      <c r="K111" s="107">
        <v>0</v>
      </c>
      <c r="L111" s="107">
        <v>0</v>
      </c>
      <c r="M111" s="107">
        <v>0</v>
      </c>
      <c r="N111" s="107">
        <v>0</v>
      </c>
      <c r="O111" s="107">
        <v>0</v>
      </c>
      <c r="P111" s="107">
        <v>0</v>
      </c>
      <c r="Q111" s="107">
        <v>0</v>
      </c>
      <c r="R111" s="107">
        <v>0</v>
      </c>
      <c r="S111" s="107">
        <v>0</v>
      </c>
      <c r="T111" s="107">
        <v>0</v>
      </c>
    </row>
    <row r="112" spans="1:20" x14ac:dyDescent="0.25">
      <c r="A112" s="107">
        <v>109</v>
      </c>
      <c r="B112" s="108" t="s">
        <v>150</v>
      </c>
      <c r="C112" s="107">
        <v>0</v>
      </c>
      <c r="D112" s="107">
        <v>0</v>
      </c>
      <c r="E112" s="107">
        <v>0</v>
      </c>
      <c r="F112" s="107">
        <v>0</v>
      </c>
      <c r="G112" s="107">
        <v>0</v>
      </c>
      <c r="H112" s="107">
        <v>0</v>
      </c>
      <c r="I112" s="107">
        <v>1</v>
      </c>
      <c r="J112" s="107">
        <v>0</v>
      </c>
      <c r="K112" s="107">
        <v>0</v>
      </c>
      <c r="L112" s="107">
        <v>0</v>
      </c>
      <c r="M112" s="107">
        <v>1</v>
      </c>
      <c r="N112" s="107">
        <v>0</v>
      </c>
      <c r="O112" s="107">
        <v>0</v>
      </c>
      <c r="P112" s="107">
        <v>0</v>
      </c>
      <c r="Q112" s="107">
        <v>0</v>
      </c>
      <c r="R112" s="107">
        <v>0</v>
      </c>
      <c r="S112" s="107">
        <v>0</v>
      </c>
      <c r="T112" s="107">
        <v>0</v>
      </c>
    </row>
    <row r="113" spans="1:20" x14ac:dyDescent="0.25">
      <c r="A113" s="107">
        <v>110</v>
      </c>
      <c r="B113" s="108" t="s">
        <v>151</v>
      </c>
      <c r="C113" s="107">
        <v>0</v>
      </c>
      <c r="D113" s="107">
        <v>0</v>
      </c>
      <c r="E113" s="107">
        <v>0</v>
      </c>
      <c r="F113" s="107">
        <v>0</v>
      </c>
      <c r="G113" s="107">
        <v>0</v>
      </c>
      <c r="H113" s="107">
        <v>0</v>
      </c>
      <c r="I113" s="107">
        <v>0</v>
      </c>
      <c r="J113" s="107">
        <v>3</v>
      </c>
      <c r="K113" s="107">
        <v>6</v>
      </c>
      <c r="L113" s="107">
        <v>4</v>
      </c>
      <c r="M113" s="107">
        <v>0</v>
      </c>
      <c r="N113" s="107">
        <v>1</v>
      </c>
      <c r="O113" s="107">
        <v>1</v>
      </c>
      <c r="P113" s="107">
        <v>16</v>
      </c>
      <c r="Q113" s="107">
        <v>2</v>
      </c>
      <c r="R113" s="107">
        <v>2</v>
      </c>
      <c r="S113" s="107">
        <v>0</v>
      </c>
      <c r="T113" s="107">
        <v>0</v>
      </c>
    </row>
    <row r="114" spans="1:20" x14ac:dyDescent="0.25">
      <c r="A114" s="107">
        <v>111</v>
      </c>
      <c r="B114" s="108" t="s">
        <v>152</v>
      </c>
      <c r="C114" s="107">
        <v>0</v>
      </c>
      <c r="D114" s="107">
        <v>0</v>
      </c>
      <c r="E114" s="107">
        <v>0</v>
      </c>
      <c r="F114" s="107">
        <v>0</v>
      </c>
      <c r="G114" s="107">
        <v>0</v>
      </c>
      <c r="H114" s="107">
        <v>0</v>
      </c>
      <c r="I114" s="107">
        <v>0</v>
      </c>
      <c r="J114" s="107">
        <v>2</v>
      </c>
      <c r="K114" s="107">
        <v>0</v>
      </c>
      <c r="L114" s="107">
        <v>0</v>
      </c>
      <c r="M114" s="107">
        <v>0</v>
      </c>
      <c r="N114" s="107">
        <v>0</v>
      </c>
      <c r="O114" s="107">
        <v>0</v>
      </c>
      <c r="P114" s="107">
        <v>0</v>
      </c>
      <c r="Q114" s="107">
        <v>0</v>
      </c>
      <c r="R114" s="107">
        <v>0</v>
      </c>
      <c r="S114" s="107">
        <v>0</v>
      </c>
      <c r="T114" s="107">
        <v>0</v>
      </c>
    </row>
    <row r="115" spans="1:20" x14ac:dyDescent="0.25">
      <c r="A115" s="107">
        <v>112</v>
      </c>
      <c r="B115" s="108" t="s">
        <v>153</v>
      </c>
      <c r="C115" s="107">
        <v>0</v>
      </c>
      <c r="D115" s="107">
        <v>0</v>
      </c>
      <c r="E115" s="107">
        <v>0</v>
      </c>
      <c r="F115" s="107">
        <v>0</v>
      </c>
      <c r="G115" s="107">
        <v>0</v>
      </c>
      <c r="H115" s="107">
        <v>0</v>
      </c>
      <c r="I115" s="107">
        <v>0</v>
      </c>
      <c r="J115" s="107">
        <v>1</v>
      </c>
      <c r="K115" s="107">
        <v>0</v>
      </c>
      <c r="L115" s="107">
        <v>0</v>
      </c>
      <c r="M115" s="107">
        <v>0</v>
      </c>
      <c r="N115" s="107">
        <v>0</v>
      </c>
      <c r="O115" s="107">
        <v>0</v>
      </c>
      <c r="P115" s="107">
        <v>0</v>
      </c>
      <c r="Q115" s="107">
        <v>0</v>
      </c>
      <c r="R115" s="107">
        <v>0</v>
      </c>
      <c r="S115" s="107">
        <v>0</v>
      </c>
      <c r="T115" s="107">
        <v>0</v>
      </c>
    </row>
    <row r="116" spans="1:20" x14ac:dyDescent="0.25">
      <c r="A116" s="107">
        <v>113</v>
      </c>
      <c r="B116" s="108" t="s">
        <v>154</v>
      </c>
      <c r="C116" s="107">
        <v>0</v>
      </c>
      <c r="D116" s="107">
        <v>0</v>
      </c>
      <c r="E116" s="107">
        <v>0</v>
      </c>
      <c r="F116" s="107">
        <v>0</v>
      </c>
      <c r="G116" s="107">
        <v>0</v>
      </c>
      <c r="H116" s="107">
        <v>0</v>
      </c>
      <c r="I116" s="107">
        <v>0</v>
      </c>
      <c r="J116" s="107">
        <v>1</v>
      </c>
      <c r="K116" s="107">
        <v>0</v>
      </c>
      <c r="L116" s="107">
        <v>0</v>
      </c>
      <c r="M116" s="107">
        <v>0</v>
      </c>
      <c r="N116" s="107">
        <v>0</v>
      </c>
      <c r="O116" s="107">
        <v>0</v>
      </c>
      <c r="P116" s="107">
        <v>0</v>
      </c>
      <c r="Q116" s="107">
        <v>0</v>
      </c>
      <c r="R116" s="107">
        <v>0</v>
      </c>
      <c r="S116" s="107">
        <v>0</v>
      </c>
      <c r="T116" s="107">
        <v>0</v>
      </c>
    </row>
    <row r="117" spans="1:20" x14ac:dyDescent="0.25">
      <c r="A117" s="107">
        <v>114</v>
      </c>
      <c r="B117" s="108" t="s">
        <v>155</v>
      </c>
      <c r="C117" s="107">
        <v>0</v>
      </c>
      <c r="D117" s="107">
        <v>0</v>
      </c>
      <c r="E117" s="107">
        <v>0</v>
      </c>
      <c r="F117" s="107">
        <v>0</v>
      </c>
      <c r="G117" s="107">
        <v>0</v>
      </c>
      <c r="H117" s="107">
        <v>0</v>
      </c>
      <c r="I117" s="107">
        <v>0</v>
      </c>
      <c r="J117" s="107">
        <v>1</v>
      </c>
      <c r="K117" s="107">
        <v>0</v>
      </c>
      <c r="L117" s="107">
        <v>2</v>
      </c>
      <c r="M117" s="107">
        <v>0</v>
      </c>
      <c r="N117" s="107">
        <v>0</v>
      </c>
      <c r="O117" s="107">
        <v>0</v>
      </c>
      <c r="P117" s="107">
        <v>0</v>
      </c>
      <c r="Q117" s="107">
        <v>0</v>
      </c>
      <c r="R117" s="107">
        <v>0</v>
      </c>
      <c r="S117" s="107">
        <v>0</v>
      </c>
      <c r="T117" s="107">
        <v>0</v>
      </c>
    </row>
    <row r="118" spans="1:20" x14ac:dyDescent="0.25">
      <c r="A118" s="107">
        <v>115</v>
      </c>
      <c r="B118" s="108" t="s">
        <v>156</v>
      </c>
      <c r="C118" s="107">
        <v>0</v>
      </c>
      <c r="D118" s="107">
        <v>0</v>
      </c>
      <c r="E118" s="107">
        <v>0</v>
      </c>
      <c r="F118" s="107">
        <v>0</v>
      </c>
      <c r="G118" s="107">
        <v>0</v>
      </c>
      <c r="H118" s="107">
        <v>0</v>
      </c>
      <c r="I118" s="107">
        <v>0</v>
      </c>
      <c r="J118" s="107">
        <v>0</v>
      </c>
      <c r="K118" s="107">
        <v>2</v>
      </c>
      <c r="L118" s="107">
        <v>0</v>
      </c>
      <c r="M118" s="107">
        <v>0</v>
      </c>
      <c r="N118" s="107">
        <v>0</v>
      </c>
      <c r="O118" s="107">
        <v>0</v>
      </c>
      <c r="P118" s="107">
        <v>0</v>
      </c>
      <c r="Q118" s="107">
        <v>0</v>
      </c>
      <c r="R118" s="107">
        <v>0</v>
      </c>
      <c r="S118" s="107">
        <v>0</v>
      </c>
      <c r="T118" s="107">
        <v>0</v>
      </c>
    </row>
    <row r="119" spans="1:20" x14ac:dyDescent="0.25">
      <c r="A119" s="107">
        <v>116</v>
      </c>
      <c r="B119" s="108" t="s">
        <v>157</v>
      </c>
      <c r="C119" s="107">
        <v>0</v>
      </c>
      <c r="D119" s="107">
        <v>0</v>
      </c>
      <c r="E119" s="107">
        <v>0</v>
      </c>
      <c r="F119" s="107">
        <v>0</v>
      </c>
      <c r="G119" s="107">
        <v>0</v>
      </c>
      <c r="H119" s="107">
        <v>0</v>
      </c>
      <c r="I119" s="107">
        <v>0</v>
      </c>
      <c r="J119" s="107">
        <v>0</v>
      </c>
      <c r="K119" s="107">
        <v>1</v>
      </c>
      <c r="L119" s="107">
        <v>0</v>
      </c>
      <c r="M119" s="107">
        <v>0</v>
      </c>
      <c r="N119" s="107">
        <v>0</v>
      </c>
      <c r="O119" s="107">
        <v>0</v>
      </c>
      <c r="P119" s="107">
        <v>0</v>
      </c>
      <c r="Q119" s="107">
        <v>0</v>
      </c>
      <c r="R119" s="107">
        <v>2</v>
      </c>
      <c r="S119" s="107">
        <v>0</v>
      </c>
      <c r="T119" s="107">
        <v>1</v>
      </c>
    </row>
    <row r="120" spans="1:20" x14ac:dyDescent="0.25">
      <c r="A120" s="107">
        <v>117</v>
      </c>
      <c r="B120" s="108" t="s">
        <v>158</v>
      </c>
      <c r="C120" s="107">
        <v>0</v>
      </c>
      <c r="D120" s="107">
        <v>0</v>
      </c>
      <c r="E120" s="107">
        <v>0</v>
      </c>
      <c r="F120" s="107">
        <v>0</v>
      </c>
      <c r="G120" s="107">
        <v>0</v>
      </c>
      <c r="H120" s="107">
        <v>0</v>
      </c>
      <c r="I120" s="107">
        <v>0</v>
      </c>
      <c r="J120" s="107">
        <v>0</v>
      </c>
      <c r="K120" s="107">
        <v>1</v>
      </c>
      <c r="L120" s="107">
        <v>0</v>
      </c>
      <c r="M120" s="107">
        <v>0</v>
      </c>
      <c r="N120" s="107">
        <v>0</v>
      </c>
      <c r="O120" s="107">
        <v>0</v>
      </c>
      <c r="P120" s="107">
        <v>0</v>
      </c>
      <c r="Q120" s="107">
        <v>0</v>
      </c>
      <c r="R120" s="107">
        <v>0</v>
      </c>
      <c r="S120" s="107">
        <v>0</v>
      </c>
      <c r="T120" s="107">
        <v>0</v>
      </c>
    </row>
    <row r="121" spans="1:20" x14ac:dyDescent="0.25">
      <c r="A121" s="107">
        <v>118</v>
      </c>
      <c r="B121" s="108" t="s">
        <v>159</v>
      </c>
      <c r="C121" s="107">
        <v>0</v>
      </c>
      <c r="D121" s="107">
        <v>0</v>
      </c>
      <c r="E121" s="107">
        <v>0</v>
      </c>
      <c r="F121" s="107">
        <v>0</v>
      </c>
      <c r="G121" s="107">
        <v>0</v>
      </c>
      <c r="H121" s="107">
        <v>0</v>
      </c>
      <c r="I121" s="107">
        <v>0</v>
      </c>
      <c r="J121" s="107">
        <v>0</v>
      </c>
      <c r="K121" s="107">
        <v>1</v>
      </c>
      <c r="L121" s="107">
        <v>1</v>
      </c>
      <c r="M121" s="107">
        <v>1</v>
      </c>
      <c r="N121" s="107">
        <v>0</v>
      </c>
      <c r="O121" s="107">
        <v>0</v>
      </c>
      <c r="P121" s="107">
        <v>0</v>
      </c>
      <c r="Q121" s="107">
        <v>0</v>
      </c>
      <c r="R121" s="107">
        <v>1</v>
      </c>
      <c r="S121" s="107">
        <v>0</v>
      </c>
      <c r="T121" s="107">
        <v>0</v>
      </c>
    </row>
    <row r="122" spans="1:20" x14ac:dyDescent="0.25">
      <c r="A122" s="107">
        <v>119</v>
      </c>
      <c r="B122" s="108" t="s">
        <v>160</v>
      </c>
      <c r="C122" s="107">
        <v>0</v>
      </c>
      <c r="D122" s="107">
        <v>0</v>
      </c>
      <c r="E122" s="107">
        <v>0</v>
      </c>
      <c r="F122" s="107">
        <v>0</v>
      </c>
      <c r="G122" s="107">
        <v>0</v>
      </c>
      <c r="H122" s="107">
        <v>0</v>
      </c>
      <c r="I122" s="107">
        <v>0</v>
      </c>
      <c r="J122" s="107">
        <v>0</v>
      </c>
      <c r="K122" s="107">
        <v>1</v>
      </c>
      <c r="L122" s="107">
        <v>0</v>
      </c>
      <c r="M122" s="107">
        <v>0</v>
      </c>
      <c r="N122" s="107">
        <v>0</v>
      </c>
      <c r="O122" s="107">
        <v>0</v>
      </c>
      <c r="P122" s="107">
        <v>0</v>
      </c>
      <c r="Q122" s="107">
        <v>0</v>
      </c>
      <c r="R122" s="107">
        <v>0</v>
      </c>
      <c r="S122" s="107">
        <v>0</v>
      </c>
      <c r="T122" s="107">
        <v>0</v>
      </c>
    </row>
    <row r="123" spans="1:20" x14ac:dyDescent="0.25">
      <c r="A123" s="107">
        <v>120</v>
      </c>
      <c r="B123" s="108" t="s">
        <v>161</v>
      </c>
      <c r="C123" s="107">
        <v>0</v>
      </c>
      <c r="D123" s="107">
        <v>0</v>
      </c>
      <c r="E123" s="107">
        <v>0</v>
      </c>
      <c r="F123" s="107">
        <v>0</v>
      </c>
      <c r="G123" s="107">
        <v>0</v>
      </c>
      <c r="H123" s="107">
        <v>0</v>
      </c>
      <c r="I123" s="107">
        <v>0</v>
      </c>
      <c r="J123" s="107">
        <v>0</v>
      </c>
      <c r="K123" s="107">
        <v>0</v>
      </c>
      <c r="L123" s="107">
        <v>2</v>
      </c>
      <c r="M123" s="107">
        <v>2</v>
      </c>
      <c r="N123" s="107">
        <v>2</v>
      </c>
      <c r="O123" s="107">
        <v>0</v>
      </c>
      <c r="P123" s="107">
        <v>0</v>
      </c>
      <c r="Q123" s="107">
        <v>1</v>
      </c>
      <c r="R123" s="107">
        <v>0</v>
      </c>
      <c r="S123" s="107">
        <v>0</v>
      </c>
      <c r="T123" s="107">
        <v>0</v>
      </c>
    </row>
    <row r="124" spans="1:20" x14ac:dyDescent="0.25">
      <c r="A124" s="107">
        <v>121</v>
      </c>
      <c r="B124" s="108" t="s">
        <v>162</v>
      </c>
      <c r="C124" s="107">
        <v>0</v>
      </c>
      <c r="D124" s="107">
        <v>0</v>
      </c>
      <c r="E124" s="107">
        <v>0</v>
      </c>
      <c r="F124" s="107">
        <v>0</v>
      </c>
      <c r="G124" s="107">
        <v>0</v>
      </c>
      <c r="H124" s="107">
        <v>0</v>
      </c>
      <c r="I124" s="107">
        <v>0</v>
      </c>
      <c r="J124" s="107">
        <v>0</v>
      </c>
      <c r="K124" s="107">
        <v>0</v>
      </c>
      <c r="L124" s="107">
        <v>0</v>
      </c>
      <c r="M124" s="107">
        <v>0</v>
      </c>
      <c r="N124" s="107">
        <v>0</v>
      </c>
      <c r="O124" s="107">
        <v>2</v>
      </c>
      <c r="P124" s="107">
        <v>0</v>
      </c>
      <c r="Q124" s="107">
        <v>2</v>
      </c>
      <c r="R124" s="107">
        <v>0</v>
      </c>
      <c r="S124" s="107">
        <v>1</v>
      </c>
      <c r="T124" s="107">
        <v>0</v>
      </c>
    </row>
    <row r="125" spans="1:20" x14ac:dyDescent="0.25">
      <c r="A125" s="107">
        <v>122</v>
      </c>
      <c r="B125" s="108" t="s">
        <v>163</v>
      </c>
      <c r="C125" s="107">
        <v>0</v>
      </c>
      <c r="D125" s="107">
        <v>0</v>
      </c>
      <c r="E125" s="107">
        <v>0</v>
      </c>
      <c r="F125" s="107">
        <v>0</v>
      </c>
      <c r="G125" s="107">
        <v>0</v>
      </c>
      <c r="H125" s="107">
        <v>0</v>
      </c>
      <c r="I125" s="107">
        <v>0</v>
      </c>
      <c r="J125" s="107">
        <v>0</v>
      </c>
      <c r="K125" s="107">
        <v>0</v>
      </c>
      <c r="L125" s="107">
        <v>0</v>
      </c>
      <c r="M125" s="107">
        <v>0</v>
      </c>
      <c r="N125" s="107">
        <v>0</v>
      </c>
      <c r="O125" s="107">
        <v>1</v>
      </c>
      <c r="P125" s="107">
        <v>0</v>
      </c>
      <c r="Q125" s="107">
        <v>0</v>
      </c>
      <c r="R125" s="107">
        <v>0</v>
      </c>
      <c r="S125" s="107">
        <v>1</v>
      </c>
      <c r="T125" s="107">
        <v>0</v>
      </c>
    </row>
    <row r="126" spans="1:20" x14ac:dyDescent="0.25">
      <c r="A126" s="107">
        <v>123</v>
      </c>
      <c r="B126" s="108" t="s">
        <v>164</v>
      </c>
      <c r="C126" s="107">
        <v>0</v>
      </c>
      <c r="D126" s="107">
        <v>0</v>
      </c>
      <c r="E126" s="107">
        <v>0</v>
      </c>
      <c r="F126" s="107">
        <v>0</v>
      </c>
      <c r="G126" s="107">
        <v>0</v>
      </c>
      <c r="H126" s="107">
        <v>0</v>
      </c>
      <c r="I126" s="107">
        <v>0</v>
      </c>
      <c r="J126" s="107">
        <v>0</v>
      </c>
      <c r="K126" s="107">
        <v>0</v>
      </c>
      <c r="L126" s="107">
        <v>0</v>
      </c>
      <c r="M126" s="107">
        <v>0</v>
      </c>
      <c r="N126" s="107">
        <v>0</v>
      </c>
      <c r="O126" s="107">
        <v>0</v>
      </c>
      <c r="P126" s="107">
        <v>2</v>
      </c>
      <c r="Q126" s="107">
        <v>0</v>
      </c>
      <c r="R126" s="107">
        <v>0</v>
      </c>
      <c r="S126" s="107">
        <v>0</v>
      </c>
      <c r="T126" s="107">
        <v>0</v>
      </c>
    </row>
    <row r="127" spans="1:20" x14ac:dyDescent="0.25">
      <c r="A127" s="107">
        <v>124</v>
      </c>
      <c r="B127" s="108" t="s">
        <v>165</v>
      </c>
      <c r="C127" s="107">
        <v>0</v>
      </c>
      <c r="D127" s="107">
        <v>0</v>
      </c>
      <c r="E127" s="107">
        <v>0</v>
      </c>
      <c r="F127" s="107">
        <v>0</v>
      </c>
      <c r="G127" s="107">
        <v>0</v>
      </c>
      <c r="H127" s="107">
        <v>0</v>
      </c>
      <c r="I127" s="107">
        <v>0</v>
      </c>
      <c r="J127" s="107">
        <v>0</v>
      </c>
      <c r="K127" s="107">
        <v>0</v>
      </c>
      <c r="L127" s="107">
        <v>0</v>
      </c>
      <c r="M127" s="107">
        <v>0</v>
      </c>
      <c r="N127" s="107">
        <v>0</v>
      </c>
      <c r="O127" s="107">
        <v>0</v>
      </c>
      <c r="P127" s="107">
        <v>1</v>
      </c>
      <c r="Q127" s="107">
        <v>0</v>
      </c>
      <c r="R127" s="107">
        <v>0</v>
      </c>
      <c r="S127" s="107">
        <v>0</v>
      </c>
      <c r="T127" s="107">
        <v>0</v>
      </c>
    </row>
    <row r="128" spans="1:20" x14ac:dyDescent="0.25">
      <c r="A128" s="107">
        <v>125</v>
      </c>
      <c r="B128" s="108" t="s">
        <v>166</v>
      </c>
      <c r="C128" s="107">
        <v>0</v>
      </c>
      <c r="D128" s="107">
        <v>0</v>
      </c>
      <c r="E128" s="107">
        <v>0</v>
      </c>
      <c r="F128" s="107">
        <v>0</v>
      </c>
      <c r="G128" s="107">
        <v>0</v>
      </c>
      <c r="H128" s="107">
        <v>0</v>
      </c>
      <c r="I128" s="107">
        <v>0</v>
      </c>
      <c r="J128" s="107">
        <v>0</v>
      </c>
      <c r="K128" s="107">
        <v>0</v>
      </c>
      <c r="L128" s="107">
        <v>0</v>
      </c>
      <c r="M128" s="107">
        <v>0</v>
      </c>
      <c r="N128" s="107">
        <v>0</v>
      </c>
      <c r="O128" s="107">
        <v>0</v>
      </c>
      <c r="P128" s="107">
        <v>0</v>
      </c>
      <c r="Q128" s="107">
        <v>1</v>
      </c>
      <c r="R128" s="107">
        <v>0</v>
      </c>
      <c r="S128" s="107">
        <v>0</v>
      </c>
      <c r="T128" s="107">
        <v>0</v>
      </c>
    </row>
    <row r="129" spans="1:20" x14ac:dyDescent="0.25">
      <c r="A129" s="107">
        <v>126</v>
      </c>
      <c r="B129" s="108" t="s">
        <v>167</v>
      </c>
      <c r="C129" s="107">
        <v>0</v>
      </c>
      <c r="D129" s="107">
        <v>0</v>
      </c>
      <c r="E129" s="107">
        <v>0</v>
      </c>
      <c r="F129" s="107">
        <v>0</v>
      </c>
      <c r="G129" s="107">
        <v>0</v>
      </c>
      <c r="H129" s="107">
        <v>0</v>
      </c>
      <c r="I129" s="107">
        <v>0</v>
      </c>
      <c r="J129" s="107">
        <v>0</v>
      </c>
      <c r="K129" s="107">
        <v>0</v>
      </c>
      <c r="L129" s="107">
        <v>0</v>
      </c>
      <c r="M129" s="107">
        <v>0</v>
      </c>
      <c r="N129" s="107">
        <v>0</v>
      </c>
      <c r="O129" s="107">
        <v>0</v>
      </c>
      <c r="P129" s="107">
        <v>0</v>
      </c>
      <c r="Q129" s="107">
        <v>0</v>
      </c>
      <c r="R129" s="107">
        <v>1</v>
      </c>
      <c r="S129" s="107">
        <v>0</v>
      </c>
      <c r="T129" s="107">
        <v>0</v>
      </c>
    </row>
    <row r="130" spans="1:20" x14ac:dyDescent="0.25">
      <c r="A130" s="107">
        <v>127</v>
      </c>
      <c r="B130" s="108" t="s">
        <v>168</v>
      </c>
      <c r="C130" s="107">
        <v>0</v>
      </c>
      <c r="D130" s="107">
        <v>0</v>
      </c>
      <c r="E130" s="107">
        <v>0</v>
      </c>
      <c r="F130" s="107">
        <v>0</v>
      </c>
      <c r="G130" s="107">
        <v>0</v>
      </c>
      <c r="H130" s="107">
        <v>0</v>
      </c>
      <c r="I130" s="107">
        <v>0</v>
      </c>
      <c r="J130" s="107">
        <v>0</v>
      </c>
      <c r="K130" s="107">
        <v>0</v>
      </c>
      <c r="L130" s="107">
        <v>0</v>
      </c>
      <c r="M130" s="107">
        <v>0</v>
      </c>
      <c r="N130" s="107">
        <v>0</v>
      </c>
      <c r="O130" s="107">
        <v>0</v>
      </c>
      <c r="P130" s="107">
        <v>0</v>
      </c>
      <c r="Q130" s="107">
        <v>0</v>
      </c>
      <c r="R130" s="107">
        <v>1</v>
      </c>
      <c r="S130" s="107">
        <v>0</v>
      </c>
      <c r="T130" s="107">
        <v>0</v>
      </c>
    </row>
    <row r="131" spans="1:20" x14ac:dyDescent="0.25">
      <c r="A131" s="107">
        <v>128</v>
      </c>
      <c r="B131" s="108" t="s">
        <v>169</v>
      </c>
      <c r="C131" s="107">
        <v>0</v>
      </c>
      <c r="D131" s="107">
        <v>0</v>
      </c>
      <c r="E131" s="107">
        <v>0</v>
      </c>
      <c r="F131" s="107">
        <v>0</v>
      </c>
      <c r="G131" s="107">
        <v>0</v>
      </c>
      <c r="H131" s="107">
        <v>0</v>
      </c>
      <c r="I131" s="107">
        <v>0</v>
      </c>
      <c r="J131" s="107">
        <v>0</v>
      </c>
      <c r="K131" s="107">
        <v>0</v>
      </c>
      <c r="L131" s="107">
        <v>0</v>
      </c>
      <c r="M131" s="107">
        <v>0</v>
      </c>
      <c r="N131" s="107">
        <v>0</v>
      </c>
      <c r="O131" s="107">
        <v>0</v>
      </c>
      <c r="P131" s="107">
        <v>0</v>
      </c>
      <c r="Q131" s="107">
        <v>0</v>
      </c>
      <c r="R131" s="107">
        <v>0</v>
      </c>
      <c r="S131" s="107">
        <v>1</v>
      </c>
      <c r="T131" s="107">
        <v>0</v>
      </c>
    </row>
    <row r="132" spans="1:20" x14ac:dyDescent="0.25">
      <c r="A132" s="107">
        <v>129</v>
      </c>
      <c r="B132" s="108" t="s">
        <v>170</v>
      </c>
      <c r="C132" s="107">
        <v>0</v>
      </c>
      <c r="D132" s="107">
        <v>0</v>
      </c>
      <c r="E132" s="107">
        <v>0</v>
      </c>
      <c r="F132" s="107">
        <v>0</v>
      </c>
      <c r="G132" s="107">
        <v>0</v>
      </c>
      <c r="H132" s="107">
        <v>0</v>
      </c>
      <c r="I132" s="107">
        <v>0</v>
      </c>
      <c r="J132" s="107">
        <v>0</v>
      </c>
      <c r="K132" s="107">
        <v>0</v>
      </c>
      <c r="L132" s="107">
        <v>0</v>
      </c>
      <c r="M132" s="107">
        <v>0</v>
      </c>
      <c r="N132" s="107">
        <v>0</v>
      </c>
      <c r="O132" s="107">
        <v>0</v>
      </c>
      <c r="P132" s="107">
        <v>0</v>
      </c>
      <c r="Q132" s="107">
        <v>0</v>
      </c>
      <c r="R132" s="107">
        <v>0</v>
      </c>
      <c r="S132" s="107">
        <v>1</v>
      </c>
      <c r="T132" s="107">
        <v>0</v>
      </c>
    </row>
    <row r="133" spans="1:20" x14ac:dyDescent="0.25">
      <c r="A133" s="107">
        <v>130</v>
      </c>
      <c r="B133" s="108" t="s">
        <v>171</v>
      </c>
      <c r="C133" s="107">
        <v>0</v>
      </c>
      <c r="D133" s="107">
        <v>0</v>
      </c>
      <c r="E133" s="107">
        <v>0</v>
      </c>
      <c r="F133" s="107">
        <v>0</v>
      </c>
      <c r="G133" s="107">
        <v>0</v>
      </c>
      <c r="H133" s="107">
        <v>0</v>
      </c>
      <c r="I133" s="107">
        <v>0</v>
      </c>
      <c r="J133" s="107">
        <v>0</v>
      </c>
      <c r="K133" s="107">
        <v>0</v>
      </c>
      <c r="L133" s="107">
        <v>0</v>
      </c>
      <c r="M133" s="107">
        <v>0</v>
      </c>
      <c r="N133" s="107">
        <v>0</v>
      </c>
      <c r="O133" s="107">
        <v>0</v>
      </c>
      <c r="P133" s="107">
        <v>0</v>
      </c>
      <c r="Q133" s="107">
        <v>0</v>
      </c>
      <c r="R133" s="107">
        <v>0</v>
      </c>
      <c r="S133" s="107">
        <v>0</v>
      </c>
      <c r="T133" s="107">
        <v>1</v>
      </c>
    </row>
    <row r="134" spans="1:20" x14ac:dyDescent="0.25">
      <c r="A134" s="109"/>
      <c r="B134" s="110" t="s">
        <v>173</v>
      </c>
      <c r="C134" s="109">
        <f>SUM(C4:C133)</f>
        <v>215</v>
      </c>
      <c r="D134" s="109">
        <f t="shared" ref="D134:T134" si="0">SUM(D4:D133)</f>
        <v>291</v>
      </c>
      <c r="E134" s="109">
        <f t="shared" si="0"/>
        <v>191</v>
      </c>
      <c r="F134" s="109">
        <f t="shared" si="0"/>
        <v>268</v>
      </c>
      <c r="G134" s="109">
        <f t="shared" si="0"/>
        <v>168</v>
      </c>
      <c r="H134" s="109">
        <f t="shared" si="0"/>
        <v>232</v>
      </c>
      <c r="I134" s="109">
        <f t="shared" si="0"/>
        <v>138</v>
      </c>
      <c r="J134" s="109">
        <f t="shared" si="0"/>
        <v>196</v>
      </c>
      <c r="K134" s="109">
        <f t="shared" si="0"/>
        <v>201</v>
      </c>
      <c r="L134" s="109">
        <f t="shared" si="0"/>
        <v>208</v>
      </c>
      <c r="M134" s="109">
        <f t="shared" si="0"/>
        <v>188</v>
      </c>
      <c r="N134" s="109">
        <f t="shared" si="0"/>
        <v>167</v>
      </c>
      <c r="O134" s="109">
        <f t="shared" si="0"/>
        <v>108</v>
      </c>
      <c r="P134" s="109">
        <f t="shared" si="0"/>
        <v>248</v>
      </c>
      <c r="Q134" s="109">
        <f t="shared" si="0"/>
        <v>205</v>
      </c>
      <c r="R134" s="109">
        <f t="shared" si="0"/>
        <v>179</v>
      </c>
      <c r="S134" s="109">
        <f t="shared" si="0"/>
        <v>206</v>
      </c>
      <c r="T134" s="109">
        <f t="shared" si="0"/>
        <v>164</v>
      </c>
    </row>
  </sheetData>
  <mergeCells count="2">
    <mergeCell ref="A1:T1"/>
    <mergeCell ref="A2:T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263F1-ABE2-5047-8310-DCEAF4F2981C}">
  <dimension ref="A1:G26"/>
  <sheetViews>
    <sheetView zoomScale="125" workbookViewId="0">
      <selection activeCell="E20" sqref="E20"/>
    </sheetView>
  </sheetViews>
  <sheetFormatPr baseColWidth="10" defaultRowHeight="16" x14ac:dyDescent="0.2"/>
  <cols>
    <col min="1" max="1" width="37.1640625" style="31" bestFit="1" customWidth="1"/>
    <col min="2" max="7" width="30.83203125" style="31" customWidth="1"/>
    <col min="8" max="16384" width="10.83203125" style="31"/>
  </cols>
  <sheetData>
    <row r="1" spans="1:7" ht="16" customHeight="1" x14ac:dyDescent="0.2">
      <c r="A1" s="75" t="s">
        <v>347</v>
      </c>
      <c r="B1" s="75"/>
      <c r="C1" s="75"/>
      <c r="D1" s="75"/>
      <c r="E1" s="75"/>
      <c r="F1" s="20"/>
      <c r="G1" s="20"/>
    </row>
    <row r="2" spans="1:7" ht="62" customHeight="1" x14ac:dyDescent="0.2">
      <c r="A2" s="75" t="s">
        <v>380</v>
      </c>
      <c r="B2" s="75"/>
      <c r="C2" s="75"/>
      <c r="D2" s="75"/>
      <c r="E2" s="75"/>
      <c r="F2" s="22"/>
      <c r="G2" s="22"/>
    </row>
    <row r="3" spans="1:7" ht="18" thickBot="1" x14ac:dyDescent="0.25">
      <c r="A3" s="19" t="s">
        <v>229</v>
      </c>
      <c r="B3" s="19" t="s">
        <v>230</v>
      </c>
      <c r="C3" s="19" t="s">
        <v>243</v>
      </c>
      <c r="D3" s="19" t="s">
        <v>1</v>
      </c>
      <c r="E3" s="19" t="s">
        <v>3</v>
      </c>
    </row>
    <row r="4" spans="1:7" x14ac:dyDescent="0.2">
      <c r="A4" s="31" t="s">
        <v>245</v>
      </c>
      <c r="B4" s="102" t="s">
        <v>244</v>
      </c>
      <c r="C4" s="102">
        <v>12.579000000000001</v>
      </c>
      <c r="D4" s="102">
        <v>5</v>
      </c>
      <c r="E4" s="103">
        <v>2.8000000000000001E-2</v>
      </c>
    </row>
    <row r="5" spans="1:7" x14ac:dyDescent="0.2">
      <c r="A5" s="31" t="s">
        <v>246</v>
      </c>
      <c r="B5" s="102" t="s">
        <v>244</v>
      </c>
      <c r="C5" s="102">
        <v>4.4000000000000004</v>
      </c>
      <c r="D5" s="102">
        <v>5</v>
      </c>
      <c r="E5" s="102">
        <v>0.49299999999999999</v>
      </c>
    </row>
    <row r="9" spans="1:7" x14ac:dyDescent="0.2">
      <c r="A9" s="75" t="s">
        <v>348</v>
      </c>
      <c r="B9" s="75"/>
      <c r="C9" s="75"/>
      <c r="D9" s="75"/>
      <c r="E9" s="75"/>
    </row>
    <row r="10" spans="1:7" ht="51" customHeight="1" x14ac:dyDescent="0.2">
      <c r="A10" s="75" t="s">
        <v>250</v>
      </c>
      <c r="B10" s="75"/>
      <c r="C10" s="75"/>
      <c r="D10" s="75"/>
      <c r="E10" s="75"/>
    </row>
    <row r="11" spans="1:7" ht="18" thickBot="1" x14ac:dyDescent="0.25">
      <c r="A11" s="19" t="s">
        <v>0</v>
      </c>
      <c r="B11" s="19" t="s">
        <v>219</v>
      </c>
      <c r="C11" s="19" t="s">
        <v>247</v>
      </c>
      <c r="D11" s="19" t="s">
        <v>248</v>
      </c>
      <c r="E11" s="19" t="s">
        <v>249</v>
      </c>
    </row>
    <row r="12" spans="1:7" x14ac:dyDescent="0.2">
      <c r="A12" s="31" t="s">
        <v>252</v>
      </c>
      <c r="B12" s="104">
        <v>-2.5999999999999999E-2</v>
      </c>
      <c r="C12" s="104">
        <v>0.114</v>
      </c>
      <c r="D12" s="104">
        <v>-0.22800000000000001</v>
      </c>
      <c r="E12" s="104">
        <v>1</v>
      </c>
    </row>
    <row r="13" spans="1:7" x14ac:dyDescent="0.2">
      <c r="A13" s="31" t="s">
        <v>251</v>
      </c>
      <c r="B13" s="104">
        <v>0.14099999999999999</v>
      </c>
      <c r="C13" s="104">
        <v>0.11899999999999999</v>
      </c>
      <c r="D13" s="104">
        <v>1.1859999999999999</v>
      </c>
      <c r="E13" s="104">
        <v>0.84399999999999997</v>
      </c>
    </row>
    <row r="14" spans="1:7" x14ac:dyDescent="0.2">
      <c r="A14" s="31" t="s">
        <v>253</v>
      </c>
      <c r="B14" s="104">
        <v>0.27900000000000003</v>
      </c>
      <c r="C14" s="104">
        <v>0.124</v>
      </c>
      <c r="D14" s="104">
        <v>2.2570000000000001</v>
      </c>
      <c r="E14" s="104">
        <v>0.21199999999999999</v>
      </c>
    </row>
    <row r="15" spans="1:7" x14ac:dyDescent="0.2">
      <c r="A15" s="31" t="s">
        <v>254</v>
      </c>
      <c r="B15" s="104">
        <v>0.21199999999999999</v>
      </c>
      <c r="C15" s="104">
        <v>0.121</v>
      </c>
      <c r="D15" s="104">
        <v>1.746</v>
      </c>
      <c r="E15" s="104">
        <v>0.502</v>
      </c>
    </row>
    <row r="16" spans="1:7" x14ac:dyDescent="0.2">
      <c r="A16" s="31" t="s">
        <v>255</v>
      </c>
      <c r="B16" s="104">
        <v>0.28799999999999998</v>
      </c>
      <c r="C16" s="104">
        <v>0.124</v>
      </c>
      <c r="D16" s="104">
        <v>2.3220000000000001</v>
      </c>
      <c r="E16" s="104">
        <v>0.185</v>
      </c>
    </row>
    <row r="17" spans="1:5" x14ac:dyDescent="0.2">
      <c r="A17" s="31" t="s">
        <v>256</v>
      </c>
      <c r="B17" s="104">
        <v>0.16700000000000001</v>
      </c>
      <c r="C17" s="104">
        <v>0.11799999999999999</v>
      </c>
      <c r="D17" s="104">
        <v>1.413</v>
      </c>
      <c r="E17" s="104">
        <v>0.71899999999999997</v>
      </c>
    </row>
    <row r="18" spans="1:5" x14ac:dyDescent="0.2">
      <c r="A18" s="31" t="s">
        <v>257</v>
      </c>
      <c r="B18" s="104">
        <v>0.30499999999999999</v>
      </c>
      <c r="C18" s="104">
        <v>0.123</v>
      </c>
      <c r="D18" s="104">
        <v>2.4809999999999999</v>
      </c>
      <c r="E18" s="104">
        <v>0.13</v>
      </c>
    </row>
    <row r="19" spans="1:5" x14ac:dyDescent="0.2">
      <c r="A19" s="31" t="s">
        <v>258</v>
      </c>
      <c r="B19" s="104">
        <v>0.23799999999999999</v>
      </c>
      <c r="C19" s="104">
        <v>0.121</v>
      </c>
      <c r="D19" s="104">
        <v>1.9710000000000001</v>
      </c>
      <c r="E19" s="104">
        <v>0.35899999999999999</v>
      </c>
    </row>
    <row r="20" spans="1:5" x14ac:dyDescent="0.2">
      <c r="A20" s="31" t="s">
        <v>259</v>
      </c>
      <c r="B20" s="104">
        <v>0.314</v>
      </c>
      <c r="C20" s="104">
        <v>0.123</v>
      </c>
      <c r="D20" s="104">
        <v>2.5459999999999998</v>
      </c>
      <c r="E20" s="104">
        <v>0.111</v>
      </c>
    </row>
    <row r="21" spans="1:5" x14ac:dyDescent="0.2">
      <c r="A21" s="31" t="s">
        <v>260</v>
      </c>
      <c r="B21" s="104">
        <v>0.13800000000000001</v>
      </c>
      <c r="C21" s="104">
        <v>0.128</v>
      </c>
      <c r="D21" s="104">
        <v>1.081</v>
      </c>
      <c r="E21" s="104">
        <v>0.88900000000000001</v>
      </c>
    </row>
    <row r="22" spans="1:5" x14ac:dyDescent="0.2">
      <c r="A22" s="31" t="s">
        <v>261</v>
      </c>
      <c r="B22" s="104">
        <v>7.0999999999999994E-2</v>
      </c>
      <c r="C22" s="104">
        <v>0.125</v>
      </c>
      <c r="D22" s="104">
        <v>0.56299999999999994</v>
      </c>
      <c r="E22" s="104">
        <v>0.99299999999999999</v>
      </c>
    </row>
    <row r="23" spans="1:5" x14ac:dyDescent="0.2">
      <c r="A23" s="31" t="s">
        <v>262</v>
      </c>
      <c r="B23" s="104">
        <v>0.14699999999999999</v>
      </c>
      <c r="C23" s="104">
        <v>0.128</v>
      </c>
      <c r="D23" s="104">
        <v>1.147</v>
      </c>
      <c r="E23" s="104">
        <v>0.86199999999999999</v>
      </c>
    </row>
    <row r="24" spans="1:5" x14ac:dyDescent="0.2">
      <c r="A24" s="31" t="s">
        <v>263</v>
      </c>
      <c r="B24" s="104">
        <v>-6.7000000000000004E-2</v>
      </c>
      <c r="C24" s="104">
        <v>0.13</v>
      </c>
      <c r="D24" s="104">
        <v>-0.51800000000000002</v>
      </c>
      <c r="E24" s="104">
        <v>0.996</v>
      </c>
    </row>
    <row r="25" spans="1:5" x14ac:dyDescent="0.2">
      <c r="A25" s="31" t="s">
        <v>264</v>
      </c>
      <c r="B25" s="104">
        <v>8.9999999999999993E-3</v>
      </c>
      <c r="C25" s="104">
        <v>0.13200000000000001</v>
      </c>
      <c r="D25" s="104">
        <v>6.6000000000000003E-2</v>
      </c>
      <c r="E25" s="104">
        <v>1</v>
      </c>
    </row>
    <row r="26" spans="1:5" x14ac:dyDescent="0.2">
      <c r="A26" s="31" t="s">
        <v>265</v>
      </c>
      <c r="B26" s="104">
        <v>7.5999999999999998E-2</v>
      </c>
      <c r="C26" s="104">
        <v>0.13</v>
      </c>
      <c r="D26" s="104">
        <v>0.58399999999999996</v>
      </c>
      <c r="E26" s="104">
        <v>0.99199999999999999</v>
      </c>
    </row>
  </sheetData>
  <mergeCells count="4">
    <mergeCell ref="A2:E2"/>
    <mergeCell ref="A1:E1"/>
    <mergeCell ref="A9:E9"/>
    <mergeCell ref="A10:E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581A5-1D63-284A-A0BF-05AAF3B1F69F}">
  <dimension ref="A1:S78"/>
  <sheetViews>
    <sheetView workbookViewId="0">
      <pane ySplit="3" topLeftCell="A4" activePane="bottomLeft" state="frozen"/>
      <selection pane="bottomLeft" activeCell="N60" sqref="N60"/>
    </sheetView>
  </sheetViews>
  <sheetFormatPr baseColWidth="10" defaultRowHeight="16" x14ac:dyDescent="0.2"/>
  <cols>
    <col min="1" max="1" width="10.6640625" bestFit="1" customWidth="1"/>
    <col min="2" max="2" width="17.33203125" bestFit="1" customWidth="1"/>
    <col min="3" max="3" width="8.33203125" bestFit="1" customWidth="1"/>
    <col min="4" max="4" width="9.33203125" bestFit="1" customWidth="1"/>
    <col min="5" max="5" width="24.5" bestFit="1" customWidth="1"/>
    <col min="6" max="9" width="10.33203125" bestFit="1" customWidth="1"/>
    <col min="10" max="10" width="13.6640625" bestFit="1" customWidth="1"/>
    <col min="11" max="12" width="10.33203125" bestFit="1" customWidth="1"/>
    <col min="13" max="13" width="9.33203125" bestFit="1" customWidth="1"/>
    <col min="14" max="14" width="5.33203125" bestFit="1" customWidth="1"/>
    <col min="15" max="15" width="10.33203125" bestFit="1" customWidth="1"/>
    <col min="16" max="16" width="8.5" bestFit="1" customWidth="1"/>
  </cols>
  <sheetData>
    <row r="1" spans="1:16" x14ac:dyDescent="0.2">
      <c r="A1" s="79" t="s">
        <v>349</v>
      </c>
      <c r="B1" s="79"/>
      <c r="C1" s="79"/>
      <c r="D1" s="79"/>
      <c r="E1" s="79"/>
      <c r="F1" s="79"/>
      <c r="G1" s="79"/>
      <c r="H1" s="79"/>
      <c r="I1" s="79"/>
      <c r="J1" s="79"/>
      <c r="K1" s="79"/>
      <c r="L1" s="79"/>
      <c r="M1" s="79"/>
      <c r="N1" s="79"/>
      <c r="O1" s="79"/>
      <c r="P1" s="79"/>
    </row>
    <row r="2" spans="1:16" ht="106" customHeight="1" x14ac:dyDescent="0.2">
      <c r="A2" s="80" t="s">
        <v>381</v>
      </c>
      <c r="B2" s="80"/>
      <c r="C2" s="80"/>
      <c r="D2" s="80"/>
      <c r="E2" s="80"/>
      <c r="F2" s="80"/>
      <c r="G2" s="80"/>
      <c r="H2" s="80"/>
      <c r="I2" s="80"/>
      <c r="J2" s="80"/>
      <c r="K2" s="80"/>
      <c r="L2" s="80"/>
      <c r="M2" s="80"/>
      <c r="N2" s="80"/>
      <c r="O2" s="80"/>
      <c r="P2" s="80"/>
    </row>
    <row r="3" spans="1:16" x14ac:dyDescent="0.2">
      <c r="A3" s="96" t="s">
        <v>334</v>
      </c>
      <c r="B3" s="96" t="s">
        <v>333</v>
      </c>
      <c r="C3" s="96" t="s">
        <v>318</v>
      </c>
      <c r="D3" s="97" t="s">
        <v>319</v>
      </c>
      <c r="E3" s="97" t="s">
        <v>331</v>
      </c>
      <c r="F3" s="97" t="s">
        <v>320</v>
      </c>
      <c r="G3" s="97" t="s">
        <v>321</v>
      </c>
      <c r="H3" s="97" t="s">
        <v>322</v>
      </c>
      <c r="I3" s="97" t="s">
        <v>323</v>
      </c>
      <c r="J3" s="97" t="s">
        <v>324</v>
      </c>
      <c r="K3" s="97" t="s">
        <v>325</v>
      </c>
      <c r="L3" s="97" t="s">
        <v>335</v>
      </c>
      <c r="M3" s="97" t="s">
        <v>327</v>
      </c>
      <c r="N3" s="97" t="s">
        <v>326</v>
      </c>
      <c r="O3" s="97" t="s">
        <v>337</v>
      </c>
      <c r="P3" s="97" t="s">
        <v>336</v>
      </c>
    </row>
    <row r="4" spans="1:16" x14ac:dyDescent="0.2">
      <c r="A4" s="81">
        <v>1</v>
      </c>
      <c r="B4" s="81" t="str">
        <f>C4&amp;"-"&amp;D4</f>
        <v>HHW02-106um</v>
      </c>
      <c r="C4" s="81" t="s">
        <v>33</v>
      </c>
      <c r="D4" s="81" t="s">
        <v>328</v>
      </c>
      <c r="E4" s="81" t="s">
        <v>340</v>
      </c>
      <c r="F4" s="82">
        <v>100468</v>
      </c>
      <c r="G4" s="82">
        <v>85904</v>
      </c>
      <c r="H4" s="82">
        <v>84180</v>
      </c>
      <c r="I4" s="82">
        <v>81747</v>
      </c>
      <c r="J4" s="82">
        <v>79737</v>
      </c>
      <c r="K4" s="82">
        <v>77776</v>
      </c>
      <c r="L4" s="82">
        <v>70489</v>
      </c>
      <c r="M4" s="83">
        <v>0.70160650000000002</v>
      </c>
      <c r="N4" s="84">
        <v>463</v>
      </c>
      <c r="O4" s="82">
        <v>66041</v>
      </c>
      <c r="P4" s="85">
        <v>462.78316000000001</v>
      </c>
    </row>
    <row r="5" spans="1:16" x14ac:dyDescent="0.2">
      <c r="A5" s="81">
        <v>2</v>
      </c>
      <c r="B5" s="81" t="str">
        <f t="shared" ref="B5:B71" si="0">C5&amp;"-"&amp;D5</f>
        <v>HHW03-106um</v>
      </c>
      <c r="C5" s="81" t="s">
        <v>34</v>
      </c>
      <c r="D5" s="81" t="s">
        <v>328</v>
      </c>
      <c r="E5" s="81" t="s">
        <v>341</v>
      </c>
      <c r="F5" s="82">
        <v>101730</v>
      </c>
      <c r="G5" s="82">
        <v>88685</v>
      </c>
      <c r="H5" s="82">
        <v>86885</v>
      </c>
      <c r="I5" s="82">
        <v>85139</v>
      </c>
      <c r="J5" s="82">
        <v>79546</v>
      </c>
      <c r="K5" s="82">
        <v>75432</v>
      </c>
      <c r="L5" s="82">
        <v>71169</v>
      </c>
      <c r="M5" s="83">
        <v>0.69958710000000002</v>
      </c>
      <c r="N5" s="84">
        <v>526</v>
      </c>
      <c r="O5" s="82">
        <v>68121</v>
      </c>
      <c r="P5" s="85">
        <v>525.85001</v>
      </c>
    </row>
    <row r="6" spans="1:16" x14ac:dyDescent="0.2">
      <c r="A6" s="81">
        <v>3</v>
      </c>
      <c r="B6" s="81" t="str">
        <f t="shared" si="0"/>
        <v>HHW04-106um</v>
      </c>
      <c r="C6" s="81" t="s">
        <v>35</v>
      </c>
      <c r="D6" s="81" t="s">
        <v>328</v>
      </c>
      <c r="E6" s="81" t="s">
        <v>341</v>
      </c>
      <c r="F6" s="82">
        <v>85115</v>
      </c>
      <c r="G6" s="82">
        <v>72289</v>
      </c>
      <c r="H6" s="82">
        <v>70411</v>
      </c>
      <c r="I6" s="82">
        <v>68301</v>
      </c>
      <c r="J6" s="82">
        <v>66063</v>
      </c>
      <c r="K6" s="82">
        <v>64301</v>
      </c>
      <c r="L6" s="82">
        <v>58449</v>
      </c>
      <c r="M6" s="83">
        <v>0.68670620000000004</v>
      </c>
      <c r="N6" s="84">
        <v>435</v>
      </c>
      <c r="O6" s="82">
        <v>54621</v>
      </c>
      <c r="P6" s="85">
        <v>434.81459000000001</v>
      </c>
    </row>
    <row r="7" spans="1:16" x14ac:dyDescent="0.2">
      <c r="A7" s="81">
        <v>4</v>
      </c>
      <c r="B7" s="81" t="str">
        <f t="shared" si="0"/>
        <v>HHW05-106um</v>
      </c>
      <c r="C7" s="81" t="s">
        <v>36</v>
      </c>
      <c r="D7" s="81" t="s">
        <v>328</v>
      </c>
      <c r="E7" s="81" t="s">
        <v>339</v>
      </c>
      <c r="F7" s="82">
        <v>96020</v>
      </c>
      <c r="G7" s="82">
        <v>83102</v>
      </c>
      <c r="H7" s="82">
        <v>81354</v>
      </c>
      <c r="I7" s="82">
        <v>78824</v>
      </c>
      <c r="J7" s="82">
        <v>77967</v>
      </c>
      <c r="K7" s="82">
        <v>70929</v>
      </c>
      <c r="L7" s="82">
        <v>63552</v>
      </c>
      <c r="M7" s="83">
        <v>0.66186210000000001</v>
      </c>
      <c r="N7" s="84">
        <v>465</v>
      </c>
      <c r="O7" s="82">
        <v>58921</v>
      </c>
      <c r="P7" s="85">
        <v>464.77744999999999</v>
      </c>
    </row>
    <row r="8" spans="1:16" x14ac:dyDescent="0.2">
      <c r="A8" s="81">
        <v>5</v>
      </c>
      <c r="B8" s="81" t="str">
        <f t="shared" si="0"/>
        <v>HHW06-106um</v>
      </c>
      <c r="C8" s="81" t="s">
        <v>37</v>
      </c>
      <c r="D8" s="81" t="s">
        <v>328</v>
      </c>
      <c r="E8" s="81" t="s">
        <v>342</v>
      </c>
      <c r="F8" s="82">
        <v>106067</v>
      </c>
      <c r="G8" s="82">
        <v>91738</v>
      </c>
      <c r="H8" s="82">
        <v>89879</v>
      </c>
      <c r="I8" s="82">
        <v>87314</v>
      </c>
      <c r="J8" s="82">
        <v>84728</v>
      </c>
      <c r="K8" s="82">
        <v>78783</v>
      </c>
      <c r="L8" s="82">
        <v>72726</v>
      </c>
      <c r="M8" s="83">
        <v>0.68566099999999996</v>
      </c>
      <c r="N8" s="84">
        <v>471</v>
      </c>
      <c r="O8" s="82">
        <v>68161</v>
      </c>
      <c r="P8" s="85">
        <v>470.77901000000003</v>
      </c>
    </row>
    <row r="9" spans="1:16" x14ac:dyDescent="0.2">
      <c r="A9" s="81">
        <v>6</v>
      </c>
      <c r="B9" s="81" t="str">
        <f t="shared" si="0"/>
        <v>HHW07-106um</v>
      </c>
      <c r="C9" s="81" t="s">
        <v>38</v>
      </c>
      <c r="D9" s="81" t="s">
        <v>328</v>
      </c>
      <c r="E9" s="81" t="s">
        <v>339</v>
      </c>
      <c r="F9" s="82">
        <v>107258</v>
      </c>
      <c r="G9" s="82">
        <v>92076</v>
      </c>
      <c r="H9" s="82">
        <v>90358</v>
      </c>
      <c r="I9" s="82">
        <v>88213</v>
      </c>
      <c r="J9" s="82">
        <v>85666</v>
      </c>
      <c r="K9" s="82">
        <v>83892</v>
      </c>
      <c r="L9" s="82">
        <v>75999</v>
      </c>
      <c r="M9" s="83">
        <v>0.70856249999999998</v>
      </c>
      <c r="N9" s="84">
        <v>460</v>
      </c>
      <c r="O9" s="82">
        <v>70371</v>
      </c>
      <c r="P9" s="85">
        <v>459.72908999999999</v>
      </c>
    </row>
    <row r="10" spans="1:16" x14ac:dyDescent="0.2">
      <c r="A10" s="81">
        <v>7</v>
      </c>
      <c r="B10" s="81" t="str">
        <f t="shared" si="0"/>
        <v>HHW08-106um</v>
      </c>
      <c r="C10" s="81" t="s">
        <v>39</v>
      </c>
      <c r="D10" s="81" t="s">
        <v>328</v>
      </c>
      <c r="E10" s="81" t="s">
        <v>228</v>
      </c>
      <c r="F10" s="82">
        <v>80941</v>
      </c>
      <c r="G10" s="82">
        <v>68391</v>
      </c>
      <c r="H10" s="82">
        <v>67072</v>
      </c>
      <c r="I10" s="82">
        <v>65269</v>
      </c>
      <c r="J10" s="82">
        <v>63996</v>
      </c>
      <c r="K10" s="82">
        <v>63525</v>
      </c>
      <c r="L10" s="82">
        <v>56273</v>
      </c>
      <c r="M10" s="83">
        <v>0.69523480000000004</v>
      </c>
      <c r="N10" s="84">
        <v>406</v>
      </c>
      <c r="O10" s="82">
        <v>52811</v>
      </c>
      <c r="P10" s="85">
        <v>405.83094</v>
      </c>
    </row>
    <row r="11" spans="1:16" x14ac:dyDescent="0.2">
      <c r="A11" s="81">
        <v>8</v>
      </c>
      <c r="B11" s="81" t="str">
        <f t="shared" si="0"/>
        <v>HHW10-106um</v>
      </c>
      <c r="C11" s="81" t="s">
        <v>40</v>
      </c>
      <c r="D11" s="81" t="s">
        <v>328</v>
      </c>
      <c r="E11" s="81" t="s">
        <v>343</v>
      </c>
      <c r="F11" s="82">
        <v>87150</v>
      </c>
      <c r="G11" s="82">
        <v>74149</v>
      </c>
      <c r="H11" s="82">
        <v>63131</v>
      </c>
      <c r="I11" s="82">
        <v>61771</v>
      </c>
      <c r="J11" s="82">
        <v>55898</v>
      </c>
      <c r="K11" s="82">
        <v>51433</v>
      </c>
      <c r="L11" s="82">
        <v>49857</v>
      </c>
      <c r="M11" s="83">
        <v>0.5720826</v>
      </c>
      <c r="N11" s="84">
        <v>373</v>
      </c>
      <c r="O11" s="82">
        <v>47991</v>
      </c>
      <c r="P11" s="85">
        <v>372.90845999999999</v>
      </c>
    </row>
    <row r="12" spans="1:16" x14ac:dyDescent="0.2">
      <c r="A12" s="81">
        <v>9</v>
      </c>
      <c r="B12" s="81" t="str">
        <f t="shared" si="0"/>
        <v>HHW11-106um</v>
      </c>
      <c r="C12" s="81" t="s">
        <v>41</v>
      </c>
      <c r="D12" s="81" t="s">
        <v>328</v>
      </c>
      <c r="E12" s="81" t="s">
        <v>339</v>
      </c>
      <c r="F12" s="82">
        <v>77035</v>
      </c>
      <c r="G12" s="82">
        <v>66171</v>
      </c>
      <c r="H12" s="82">
        <v>64105</v>
      </c>
      <c r="I12" s="82">
        <v>61838</v>
      </c>
      <c r="J12" s="82">
        <v>60771</v>
      </c>
      <c r="K12" s="82">
        <v>60337</v>
      </c>
      <c r="L12" s="82">
        <v>55653</v>
      </c>
      <c r="M12" s="83">
        <v>0.72243789999999997</v>
      </c>
      <c r="N12" s="84">
        <v>421</v>
      </c>
      <c r="O12" s="82">
        <v>51511</v>
      </c>
      <c r="P12" s="85">
        <v>420.80201</v>
      </c>
    </row>
    <row r="13" spans="1:16" x14ac:dyDescent="0.2">
      <c r="A13" s="81">
        <v>10</v>
      </c>
      <c r="B13" s="81" t="str">
        <f t="shared" si="0"/>
        <v>HHW13-106um</v>
      </c>
      <c r="C13" s="81" t="s">
        <v>42</v>
      </c>
      <c r="D13" s="81" t="s">
        <v>328</v>
      </c>
      <c r="E13" s="81" t="s">
        <v>342</v>
      </c>
      <c r="F13" s="82">
        <v>158423</v>
      </c>
      <c r="G13" s="82">
        <v>139220</v>
      </c>
      <c r="H13" s="82">
        <v>134481</v>
      </c>
      <c r="I13" s="82">
        <v>130144</v>
      </c>
      <c r="J13" s="82">
        <v>125674</v>
      </c>
      <c r="K13" s="82">
        <v>121767</v>
      </c>
      <c r="L13" s="82">
        <v>113586</v>
      </c>
      <c r="M13" s="83">
        <v>0.71697920000000004</v>
      </c>
      <c r="N13" s="84">
        <v>593</v>
      </c>
      <c r="O13" s="82">
        <v>103891</v>
      </c>
      <c r="P13" s="85">
        <v>592.53462000000002</v>
      </c>
    </row>
    <row r="14" spans="1:16" x14ac:dyDescent="0.2">
      <c r="A14" s="81">
        <v>11</v>
      </c>
      <c r="B14" s="81" t="str">
        <f t="shared" si="0"/>
        <v>HHW14-106um</v>
      </c>
      <c r="C14" s="81" t="s">
        <v>43</v>
      </c>
      <c r="D14" s="81" t="s">
        <v>328</v>
      </c>
      <c r="E14" s="81" t="s">
        <v>228</v>
      </c>
      <c r="F14" s="82">
        <v>160277</v>
      </c>
      <c r="G14" s="82">
        <v>138390</v>
      </c>
      <c r="H14" s="82">
        <v>136395</v>
      </c>
      <c r="I14" s="82">
        <v>133059</v>
      </c>
      <c r="J14" s="82">
        <v>127579</v>
      </c>
      <c r="K14" s="82">
        <v>124770</v>
      </c>
      <c r="L14" s="82">
        <v>116946</v>
      </c>
      <c r="M14" s="83">
        <v>0.72964929999999995</v>
      </c>
      <c r="N14" s="84">
        <v>476</v>
      </c>
      <c r="O14" s="82">
        <v>103121</v>
      </c>
      <c r="P14" s="85">
        <v>475.3519</v>
      </c>
    </row>
    <row r="15" spans="1:16" x14ac:dyDescent="0.2">
      <c r="A15" s="81">
        <v>12</v>
      </c>
      <c r="B15" s="81" t="str">
        <f t="shared" si="0"/>
        <v>HHW15-106um</v>
      </c>
      <c r="C15" s="81" t="s">
        <v>44</v>
      </c>
      <c r="D15" s="81" t="s">
        <v>328</v>
      </c>
      <c r="E15" s="81" t="s">
        <v>228</v>
      </c>
      <c r="F15" s="82">
        <v>140156</v>
      </c>
      <c r="G15" s="82">
        <v>122179</v>
      </c>
      <c r="H15" s="82">
        <v>120225</v>
      </c>
      <c r="I15" s="82">
        <v>116328</v>
      </c>
      <c r="J15" s="82">
        <v>114178</v>
      </c>
      <c r="K15" s="82">
        <v>112570</v>
      </c>
      <c r="L15" s="82">
        <v>99885</v>
      </c>
      <c r="M15" s="83">
        <v>0.71267020000000003</v>
      </c>
      <c r="N15" s="84">
        <v>473</v>
      </c>
      <c r="O15" s="82">
        <v>92101</v>
      </c>
      <c r="P15" s="85">
        <v>472.62383999999997</v>
      </c>
    </row>
    <row r="16" spans="1:16" x14ac:dyDescent="0.2">
      <c r="A16" s="81">
        <v>13</v>
      </c>
      <c r="B16" s="81" t="str">
        <f t="shared" si="0"/>
        <v>HHW16-106um</v>
      </c>
      <c r="C16" s="81" t="s">
        <v>45</v>
      </c>
      <c r="D16" s="81" t="s">
        <v>328</v>
      </c>
      <c r="E16" s="81" t="s">
        <v>343</v>
      </c>
      <c r="F16" s="82">
        <v>122234</v>
      </c>
      <c r="G16" s="82">
        <v>106331</v>
      </c>
      <c r="H16" s="82">
        <v>103046</v>
      </c>
      <c r="I16" s="82">
        <v>100667</v>
      </c>
      <c r="J16" s="82">
        <v>96814</v>
      </c>
      <c r="K16" s="82">
        <v>94125</v>
      </c>
      <c r="L16" s="82">
        <v>85832</v>
      </c>
      <c r="M16" s="83">
        <v>0.70219419999999999</v>
      </c>
      <c r="N16" s="84">
        <v>420</v>
      </c>
      <c r="O16" s="82">
        <v>80121</v>
      </c>
      <c r="P16" s="85">
        <v>419.7201</v>
      </c>
    </row>
    <row r="17" spans="1:16" x14ac:dyDescent="0.2">
      <c r="A17" s="81">
        <v>14</v>
      </c>
      <c r="B17" s="81" t="str">
        <f t="shared" si="0"/>
        <v>HHW18-106um</v>
      </c>
      <c r="C17" s="81" t="s">
        <v>46</v>
      </c>
      <c r="D17" s="81" t="s">
        <v>328</v>
      </c>
      <c r="E17" s="81" t="s">
        <v>341</v>
      </c>
      <c r="F17" s="82">
        <v>194257</v>
      </c>
      <c r="G17" s="82">
        <v>169065</v>
      </c>
      <c r="H17" s="82">
        <v>161320</v>
      </c>
      <c r="I17" s="82">
        <v>156684</v>
      </c>
      <c r="J17" s="82">
        <v>149654</v>
      </c>
      <c r="K17" s="82">
        <v>140079</v>
      </c>
      <c r="L17" s="82">
        <v>129512</v>
      </c>
      <c r="M17" s="83">
        <v>0.66670439999999997</v>
      </c>
      <c r="N17" s="84">
        <v>632</v>
      </c>
      <c r="O17" s="82">
        <v>119391</v>
      </c>
      <c r="P17" s="85">
        <v>631.51108999999997</v>
      </c>
    </row>
    <row r="18" spans="1:16" x14ac:dyDescent="0.2">
      <c r="A18" s="81">
        <v>15</v>
      </c>
      <c r="B18" s="81" t="str">
        <f t="shared" si="0"/>
        <v>HHW19-106um</v>
      </c>
      <c r="C18" s="81" t="s">
        <v>47</v>
      </c>
      <c r="D18" s="81" t="s">
        <v>328</v>
      </c>
      <c r="E18" s="81" t="s">
        <v>340</v>
      </c>
      <c r="F18" s="82">
        <v>133130</v>
      </c>
      <c r="G18" s="82">
        <v>115952</v>
      </c>
      <c r="H18" s="82">
        <v>114151</v>
      </c>
      <c r="I18" s="82">
        <v>110215</v>
      </c>
      <c r="J18" s="82">
        <v>107162</v>
      </c>
      <c r="K18" s="82">
        <v>104849</v>
      </c>
      <c r="L18" s="82">
        <v>97829</v>
      </c>
      <c r="M18" s="83">
        <v>0.73483810000000005</v>
      </c>
      <c r="N18" s="84">
        <v>539</v>
      </c>
      <c r="O18" s="82">
        <v>89721</v>
      </c>
      <c r="P18" s="85">
        <v>538.60937999999999</v>
      </c>
    </row>
    <row r="19" spans="1:16" x14ac:dyDescent="0.2">
      <c r="A19" s="81">
        <v>16</v>
      </c>
      <c r="B19" s="81" t="str">
        <f t="shared" si="0"/>
        <v>HHW21-106um</v>
      </c>
      <c r="C19" s="81" t="s">
        <v>48</v>
      </c>
      <c r="D19" s="81" t="s">
        <v>328</v>
      </c>
      <c r="E19" s="81" t="s">
        <v>340</v>
      </c>
      <c r="F19" s="82">
        <v>81062</v>
      </c>
      <c r="G19" s="82">
        <v>67534</v>
      </c>
      <c r="H19" s="82">
        <v>65761</v>
      </c>
      <c r="I19" s="82">
        <v>63556</v>
      </c>
      <c r="J19" s="82">
        <v>62256</v>
      </c>
      <c r="K19" s="82">
        <v>60768</v>
      </c>
      <c r="L19" s="82">
        <v>56480</v>
      </c>
      <c r="M19" s="83">
        <v>0.6967506</v>
      </c>
      <c r="N19" s="84">
        <v>408</v>
      </c>
      <c r="O19" s="82">
        <v>53081</v>
      </c>
      <c r="P19" s="85">
        <v>407.80468000000002</v>
      </c>
    </row>
    <row r="20" spans="1:16" x14ac:dyDescent="0.2">
      <c r="A20" s="81">
        <v>17</v>
      </c>
      <c r="B20" s="81" t="str">
        <f t="shared" si="0"/>
        <v>HHW23-106um</v>
      </c>
      <c r="C20" s="81" t="s">
        <v>49</v>
      </c>
      <c r="D20" s="81" t="s">
        <v>328</v>
      </c>
      <c r="E20" s="81" t="s">
        <v>343</v>
      </c>
      <c r="F20" s="82">
        <v>104735</v>
      </c>
      <c r="G20" s="82">
        <v>88697</v>
      </c>
      <c r="H20" s="82">
        <v>87062</v>
      </c>
      <c r="I20" s="82">
        <v>83593</v>
      </c>
      <c r="J20" s="82">
        <v>82120</v>
      </c>
      <c r="K20" s="82">
        <v>79864</v>
      </c>
      <c r="L20" s="82">
        <v>67977</v>
      </c>
      <c r="M20" s="83">
        <v>0.649038</v>
      </c>
      <c r="N20" s="84">
        <v>529</v>
      </c>
      <c r="O20" s="82">
        <v>65001</v>
      </c>
      <c r="P20" s="85">
        <v>528.83172999999999</v>
      </c>
    </row>
    <row r="21" spans="1:16" x14ac:dyDescent="0.2">
      <c r="A21" s="81">
        <v>18</v>
      </c>
      <c r="B21" s="81" t="str">
        <f t="shared" si="0"/>
        <v>HHW24-106um</v>
      </c>
      <c r="C21" s="81" t="s">
        <v>50</v>
      </c>
      <c r="D21" s="81" t="s">
        <v>328</v>
      </c>
      <c r="E21" s="81" t="s">
        <v>342</v>
      </c>
      <c r="F21" s="82">
        <v>101223</v>
      </c>
      <c r="G21" s="82">
        <v>86862</v>
      </c>
      <c r="H21" s="82">
        <v>84808</v>
      </c>
      <c r="I21" s="82">
        <v>81523</v>
      </c>
      <c r="J21" s="82">
        <v>79738</v>
      </c>
      <c r="K21" s="82">
        <v>78922</v>
      </c>
      <c r="L21" s="82">
        <v>73197</v>
      </c>
      <c r="M21" s="83">
        <v>0.72312620000000005</v>
      </c>
      <c r="N21" s="84">
        <v>565</v>
      </c>
      <c r="O21" s="82">
        <v>69351</v>
      </c>
      <c r="P21" s="85">
        <v>564.81259</v>
      </c>
    </row>
    <row r="22" spans="1:16" x14ac:dyDescent="0.2">
      <c r="A22" s="81">
        <v>19</v>
      </c>
      <c r="B22" s="81" t="str">
        <f t="shared" si="0"/>
        <v>HHW02-500um</v>
      </c>
      <c r="C22" s="81" t="s">
        <v>33</v>
      </c>
      <c r="D22" s="81" t="s">
        <v>329</v>
      </c>
      <c r="E22" s="81" t="s">
        <v>340</v>
      </c>
      <c r="F22" s="82">
        <v>91863</v>
      </c>
      <c r="G22" s="82">
        <v>79534</v>
      </c>
      <c r="H22" s="82">
        <v>78660</v>
      </c>
      <c r="I22" s="82">
        <v>76219</v>
      </c>
      <c r="J22" s="82">
        <v>74288</v>
      </c>
      <c r="K22" s="82">
        <v>64236</v>
      </c>
      <c r="L22" s="82">
        <v>58466</v>
      </c>
      <c r="M22" s="83">
        <v>0.63644780000000001</v>
      </c>
      <c r="N22" s="84">
        <v>237</v>
      </c>
      <c r="O22" s="82">
        <v>52691</v>
      </c>
      <c r="P22" s="85">
        <v>236.72739999999999</v>
      </c>
    </row>
    <row r="23" spans="1:16" x14ac:dyDescent="0.2">
      <c r="A23" s="81">
        <v>20</v>
      </c>
      <c r="B23" s="81" t="str">
        <f t="shared" si="0"/>
        <v>HHW03-500um</v>
      </c>
      <c r="C23" s="81" t="s">
        <v>34</v>
      </c>
      <c r="D23" s="81" t="s">
        <v>329</v>
      </c>
      <c r="E23" s="81" t="s">
        <v>341</v>
      </c>
      <c r="F23" s="82">
        <v>81738</v>
      </c>
      <c r="G23" s="82">
        <v>71668</v>
      </c>
      <c r="H23" s="82">
        <v>70814</v>
      </c>
      <c r="I23" s="82">
        <v>69982</v>
      </c>
      <c r="J23" s="82">
        <v>66988</v>
      </c>
      <c r="K23" s="82">
        <v>65760</v>
      </c>
      <c r="L23" s="82">
        <v>60479</v>
      </c>
      <c r="M23" s="83">
        <v>0.73991289999999998</v>
      </c>
      <c r="N23" s="84">
        <v>224</v>
      </c>
      <c r="O23" s="82">
        <v>54581</v>
      </c>
      <c r="P23" s="85">
        <v>223.71870000000001</v>
      </c>
    </row>
    <row r="24" spans="1:16" x14ac:dyDescent="0.2">
      <c r="A24" s="81">
        <v>21</v>
      </c>
      <c r="B24" s="81" t="str">
        <f t="shared" si="0"/>
        <v>HHW04-500um</v>
      </c>
      <c r="C24" s="81" t="s">
        <v>35</v>
      </c>
      <c r="D24" s="81" t="s">
        <v>329</v>
      </c>
      <c r="E24" s="81" t="s">
        <v>341</v>
      </c>
      <c r="F24" s="82">
        <v>97488</v>
      </c>
      <c r="G24" s="82">
        <v>84922</v>
      </c>
      <c r="H24" s="82">
        <v>81618</v>
      </c>
      <c r="I24" s="82">
        <v>80792</v>
      </c>
      <c r="J24" s="82">
        <v>76686</v>
      </c>
      <c r="K24" s="82">
        <v>75039</v>
      </c>
      <c r="L24" s="82">
        <v>69308</v>
      </c>
      <c r="M24" s="83">
        <v>0.71093879999999998</v>
      </c>
      <c r="N24" s="84">
        <v>242</v>
      </c>
      <c r="O24" s="82">
        <v>61281</v>
      </c>
      <c r="P24" s="85">
        <v>241.61771999999999</v>
      </c>
    </row>
    <row r="25" spans="1:16" x14ac:dyDescent="0.2">
      <c r="A25" s="81">
        <v>22</v>
      </c>
      <c r="B25" s="81" t="str">
        <f t="shared" si="0"/>
        <v>HHW05-500um</v>
      </c>
      <c r="C25" s="81" t="s">
        <v>36</v>
      </c>
      <c r="D25" s="81" t="s">
        <v>329</v>
      </c>
      <c r="E25" s="81" t="s">
        <v>339</v>
      </c>
      <c r="F25" s="82">
        <v>115688</v>
      </c>
      <c r="G25" s="82">
        <v>97073</v>
      </c>
      <c r="H25" s="82">
        <v>96202</v>
      </c>
      <c r="I25" s="82">
        <v>92244</v>
      </c>
      <c r="J25" s="82">
        <v>91050</v>
      </c>
      <c r="K25" s="82">
        <v>90432</v>
      </c>
      <c r="L25" s="82">
        <v>82621</v>
      </c>
      <c r="M25" s="83">
        <v>0.71417090000000005</v>
      </c>
      <c r="N25" s="84">
        <v>250</v>
      </c>
      <c r="O25" s="82">
        <v>71761</v>
      </c>
      <c r="P25" s="85">
        <v>249.42108999999999</v>
      </c>
    </row>
    <row r="26" spans="1:16" x14ac:dyDescent="0.2">
      <c r="A26" s="81">
        <v>23</v>
      </c>
      <c r="B26" s="81" t="str">
        <f t="shared" si="0"/>
        <v>HHW06-500um</v>
      </c>
      <c r="C26" s="81" t="s">
        <v>37</v>
      </c>
      <c r="D26" s="81" t="s">
        <v>329</v>
      </c>
      <c r="E26" s="81" t="s">
        <v>342</v>
      </c>
      <c r="F26" s="82">
        <v>114149</v>
      </c>
      <c r="G26" s="82">
        <v>99112</v>
      </c>
      <c r="H26" s="82">
        <v>98207</v>
      </c>
      <c r="I26" s="82">
        <v>96477</v>
      </c>
      <c r="J26" s="82">
        <v>91201</v>
      </c>
      <c r="K26" s="82">
        <v>86180</v>
      </c>
      <c r="L26" s="82">
        <v>80527</v>
      </c>
      <c r="M26" s="83">
        <v>0.70545519999999995</v>
      </c>
      <c r="N26" s="84">
        <v>276</v>
      </c>
      <c r="O26" s="82">
        <v>73271</v>
      </c>
      <c r="P26" s="85">
        <v>275.60439000000002</v>
      </c>
    </row>
    <row r="27" spans="1:16" x14ac:dyDescent="0.2">
      <c r="A27" s="81">
        <v>24</v>
      </c>
      <c r="B27" s="81" t="str">
        <f t="shared" si="0"/>
        <v>HHW07-500um</v>
      </c>
      <c r="C27" s="81" t="s">
        <v>38</v>
      </c>
      <c r="D27" s="81" t="s">
        <v>329</v>
      </c>
      <c r="E27" s="81" t="s">
        <v>339</v>
      </c>
      <c r="F27" s="82">
        <v>102228</v>
      </c>
      <c r="G27" s="82">
        <v>88111</v>
      </c>
      <c r="H27" s="82">
        <v>86773</v>
      </c>
      <c r="I27" s="82">
        <v>85584</v>
      </c>
      <c r="J27" s="82">
        <v>83068</v>
      </c>
      <c r="K27" s="82">
        <v>77076</v>
      </c>
      <c r="L27" s="82">
        <v>70101</v>
      </c>
      <c r="M27" s="83">
        <v>0.68573189999999995</v>
      </c>
      <c r="N27" s="84">
        <v>307</v>
      </c>
      <c r="O27" s="82">
        <v>63871</v>
      </c>
      <c r="P27" s="85">
        <v>306.65751999999998</v>
      </c>
    </row>
    <row r="28" spans="1:16" x14ac:dyDescent="0.2">
      <c r="A28" s="81">
        <v>25</v>
      </c>
      <c r="B28" s="81" t="str">
        <f t="shared" si="0"/>
        <v>HHW08-500um</v>
      </c>
      <c r="C28" s="81" t="s">
        <v>39</v>
      </c>
      <c r="D28" s="81" t="s">
        <v>329</v>
      </c>
      <c r="E28" s="81" t="s">
        <v>228</v>
      </c>
      <c r="F28" s="82">
        <v>107083</v>
      </c>
      <c r="G28" s="82">
        <v>92842</v>
      </c>
      <c r="H28" s="82">
        <v>92047</v>
      </c>
      <c r="I28" s="82">
        <v>91416</v>
      </c>
      <c r="J28" s="82">
        <v>85851</v>
      </c>
      <c r="K28" s="82">
        <v>85404</v>
      </c>
      <c r="L28" s="82">
        <v>78035</v>
      </c>
      <c r="M28" s="83">
        <v>0.72873379999999999</v>
      </c>
      <c r="N28" s="84">
        <v>205</v>
      </c>
      <c r="O28" s="82">
        <v>68121</v>
      </c>
      <c r="P28" s="85">
        <v>204.53196</v>
      </c>
    </row>
    <row r="29" spans="1:16" x14ac:dyDescent="0.2">
      <c r="A29" s="81">
        <v>26</v>
      </c>
      <c r="B29" s="81" t="str">
        <f t="shared" si="0"/>
        <v>HHW10-500um</v>
      </c>
      <c r="C29" s="81" t="s">
        <v>40</v>
      </c>
      <c r="D29" s="81" t="s">
        <v>329</v>
      </c>
      <c r="E29" s="81" t="s">
        <v>343</v>
      </c>
      <c r="F29" s="82">
        <v>97610</v>
      </c>
      <c r="G29" s="82">
        <v>85217</v>
      </c>
      <c r="H29" s="82">
        <v>84385</v>
      </c>
      <c r="I29" s="82">
        <v>83280</v>
      </c>
      <c r="J29" s="82">
        <v>80642</v>
      </c>
      <c r="K29" s="82">
        <v>74230</v>
      </c>
      <c r="L29" s="82">
        <v>68016</v>
      </c>
      <c r="M29" s="83">
        <v>0.69681389999999999</v>
      </c>
      <c r="N29" s="84">
        <v>237</v>
      </c>
      <c r="O29" s="82">
        <v>59881</v>
      </c>
      <c r="P29" s="85">
        <v>236.56022999999999</v>
      </c>
    </row>
    <row r="30" spans="1:16" x14ac:dyDescent="0.2">
      <c r="A30" s="81">
        <v>27</v>
      </c>
      <c r="B30" s="81" t="str">
        <f t="shared" si="0"/>
        <v>HHW11-500um</v>
      </c>
      <c r="C30" s="81" t="s">
        <v>41</v>
      </c>
      <c r="D30" s="81" t="s">
        <v>329</v>
      </c>
      <c r="E30" s="81" t="s">
        <v>339</v>
      </c>
      <c r="F30" s="82">
        <v>99250</v>
      </c>
      <c r="G30" s="82">
        <v>86077</v>
      </c>
      <c r="H30" s="82">
        <v>68561</v>
      </c>
      <c r="I30" s="82">
        <v>66158</v>
      </c>
      <c r="J30" s="82">
        <v>60050</v>
      </c>
      <c r="K30" s="82">
        <v>59051</v>
      </c>
      <c r="L30" s="82">
        <v>55605</v>
      </c>
      <c r="M30" s="83">
        <v>0.56025190000000002</v>
      </c>
      <c r="N30" s="84">
        <v>200</v>
      </c>
      <c r="O30" s="82">
        <v>49731</v>
      </c>
      <c r="P30" s="85">
        <v>199.72377</v>
      </c>
    </row>
    <row r="31" spans="1:16" x14ac:dyDescent="0.2">
      <c r="A31" s="81">
        <v>28</v>
      </c>
      <c r="B31" s="81" t="str">
        <f t="shared" si="0"/>
        <v>HHW13-500um</v>
      </c>
      <c r="C31" s="81" t="s">
        <v>42</v>
      </c>
      <c r="D31" s="81" t="s">
        <v>329</v>
      </c>
      <c r="E31" s="81" t="s">
        <v>342</v>
      </c>
      <c r="F31" s="82">
        <v>138271</v>
      </c>
      <c r="G31" s="82">
        <v>120813</v>
      </c>
      <c r="H31" s="82">
        <v>114734</v>
      </c>
      <c r="I31" s="82">
        <v>113378</v>
      </c>
      <c r="J31" s="82">
        <v>109537</v>
      </c>
      <c r="K31" s="82">
        <v>106767</v>
      </c>
      <c r="L31" s="82">
        <v>97303</v>
      </c>
      <c r="M31" s="83">
        <v>0.70371229999999996</v>
      </c>
      <c r="N31" s="84">
        <v>188</v>
      </c>
      <c r="O31" s="82">
        <v>79641</v>
      </c>
      <c r="P31" s="85">
        <v>187.20170999999999</v>
      </c>
    </row>
    <row r="32" spans="1:16" x14ac:dyDescent="0.2">
      <c r="A32" s="81">
        <v>29</v>
      </c>
      <c r="B32" s="81" t="str">
        <f t="shared" si="0"/>
        <v>HHW14-500um</v>
      </c>
      <c r="C32" s="81" t="s">
        <v>43</v>
      </c>
      <c r="D32" s="81" t="s">
        <v>329</v>
      </c>
      <c r="E32" s="81" t="s">
        <v>228</v>
      </c>
      <c r="F32" s="82">
        <v>97837</v>
      </c>
      <c r="G32" s="82">
        <v>84024</v>
      </c>
      <c r="H32" s="82">
        <v>83250</v>
      </c>
      <c r="I32" s="82">
        <v>79960</v>
      </c>
      <c r="J32" s="82">
        <v>78145</v>
      </c>
      <c r="K32" s="82">
        <v>72458</v>
      </c>
      <c r="L32" s="82">
        <v>66628</v>
      </c>
      <c r="M32" s="83">
        <v>0.68101029999999996</v>
      </c>
      <c r="N32" s="84">
        <v>256</v>
      </c>
      <c r="O32" s="82">
        <v>58911</v>
      </c>
      <c r="P32" s="85">
        <v>255.64192</v>
      </c>
    </row>
    <row r="33" spans="1:16" x14ac:dyDescent="0.2">
      <c r="A33" s="81">
        <v>30</v>
      </c>
      <c r="B33" s="81" t="str">
        <f t="shared" si="0"/>
        <v>HHW15-500um</v>
      </c>
      <c r="C33" s="81" t="s">
        <v>44</v>
      </c>
      <c r="D33" s="81" t="s">
        <v>329</v>
      </c>
      <c r="E33" s="81" t="s">
        <v>228</v>
      </c>
      <c r="F33" s="82">
        <v>110626</v>
      </c>
      <c r="G33" s="82">
        <v>97956</v>
      </c>
      <c r="H33" s="82">
        <v>96855</v>
      </c>
      <c r="I33" s="82">
        <v>94420</v>
      </c>
      <c r="J33" s="82">
        <v>90593</v>
      </c>
      <c r="K33" s="82">
        <v>89419</v>
      </c>
      <c r="L33" s="82">
        <v>82971</v>
      </c>
      <c r="M33" s="83">
        <v>0.75001359999999995</v>
      </c>
      <c r="N33" s="84">
        <v>247</v>
      </c>
      <c r="O33" s="82">
        <v>76161</v>
      </c>
      <c r="P33" s="85">
        <v>246.62671</v>
      </c>
    </row>
    <row r="34" spans="1:16" x14ac:dyDescent="0.2">
      <c r="A34" s="81">
        <v>31</v>
      </c>
      <c r="B34" s="81" t="str">
        <f t="shared" si="0"/>
        <v>HHW16-500um</v>
      </c>
      <c r="C34" s="81" t="s">
        <v>45</v>
      </c>
      <c r="D34" s="81" t="s">
        <v>329</v>
      </c>
      <c r="E34" s="81" t="s">
        <v>343</v>
      </c>
      <c r="F34" s="82">
        <v>133258</v>
      </c>
      <c r="G34" s="82">
        <v>116547</v>
      </c>
      <c r="H34" s="82">
        <v>115454</v>
      </c>
      <c r="I34" s="82">
        <v>114046</v>
      </c>
      <c r="J34" s="82">
        <v>110993</v>
      </c>
      <c r="K34" s="82">
        <v>108503</v>
      </c>
      <c r="L34" s="82">
        <v>98285</v>
      </c>
      <c r="M34" s="83">
        <v>0.73755420000000005</v>
      </c>
      <c r="N34" s="84">
        <v>295</v>
      </c>
      <c r="O34" s="82">
        <v>85821</v>
      </c>
      <c r="P34" s="85">
        <v>294.41143</v>
      </c>
    </row>
    <row r="35" spans="1:16" x14ac:dyDescent="0.2">
      <c r="A35" s="81">
        <v>32</v>
      </c>
      <c r="B35" s="81" t="str">
        <f t="shared" si="0"/>
        <v>HHW18-500um</v>
      </c>
      <c r="C35" s="81" t="s">
        <v>46</v>
      </c>
      <c r="D35" s="81" t="s">
        <v>329</v>
      </c>
      <c r="E35" s="81" t="s">
        <v>341</v>
      </c>
      <c r="F35" s="82">
        <v>141741</v>
      </c>
      <c r="G35" s="82">
        <v>123004</v>
      </c>
      <c r="H35" s="82">
        <v>121943</v>
      </c>
      <c r="I35" s="82">
        <v>120805</v>
      </c>
      <c r="J35" s="82">
        <v>115146</v>
      </c>
      <c r="K35" s="82">
        <v>113793</v>
      </c>
      <c r="L35" s="82">
        <v>106011</v>
      </c>
      <c r="M35" s="83">
        <v>0.74792049999999999</v>
      </c>
      <c r="N35" s="84">
        <v>305</v>
      </c>
      <c r="O35" s="82">
        <v>94351</v>
      </c>
      <c r="P35" s="85">
        <v>304.44396</v>
      </c>
    </row>
    <row r="36" spans="1:16" x14ac:dyDescent="0.2">
      <c r="A36" s="81">
        <v>33</v>
      </c>
      <c r="B36" s="81" t="str">
        <f t="shared" si="0"/>
        <v>HHW19-500um</v>
      </c>
      <c r="C36" s="81" t="s">
        <v>47</v>
      </c>
      <c r="D36" s="81" t="s">
        <v>329</v>
      </c>
      <c r="E36" s="81" t="s">
        <v>340</v>
      </c>
      <c r="F36" s="82">
        <v>73184</v>
      </c>
      <c r="G36" s="82">
        <v>64415</v>
      </c>
      <c r="H36" s="82">
        <v>63737</v>
      </c>
      <c r="I36" s="82">
        <v>63097</v>
      </c>
      <c r="J36" s="82">
        <v>60580</v>
      </c>
      <c r="K36" s="82">
        <v>58866</v>
      </c>
      <c r="L36" s="82">
        <v>54582</v>
      </c>
      <c r="M36" s="83">
        <v>0.7458188</v>
      </c>
      <c r="N36" s="84">
        <v>212</v>
      </c>
      <c r="O36" s="82">
        <v>50371</v>
      </c>
      <c r="P36" s="85">
        <v>211.75704999999999</v>
      </c>
    </row>
    <row r="37" spans="1:16" x14ac:dyDescent="0.2">
      <c r="A37" s="81">
        <v>34</v>
      </c>
      <c r="B37" s="81" t="str">
        <f t="shared" si="0"/>
        <v>HHW21-500um</v>
      </c>
      <c r="C37" s="81" t="s">
        <v>48</v>
      </c>
      <c r="D37" s="81" t="s">
        <v>329</v>
      </c>
      <c r="E37" s="81" t="s">
        <v>340</v>
      </c>
      <c r="F37" s="82">
        <v>102264</v>
      </c>
      <c r="G37" s="82">
        <v>84777</v>
      </c>
      <c r="H37" s="82">
        <v>84476</v>
      </c>
      <c r="I37" s="82">
        <v>84246</v>
      </c>
      <c r="J37" s="82">
        <v>79060</v>
      </c>
      <c r="K37" s="82">
        <v>78933</v>
      </c>
      <c r="L37" s="82">
        <v>73413</v>
      </c>
      <c r="M37" s="83">
        <v>0.71787730000000005</v>
      </c>
      <c r="N37" s="84">
        <v>62</v>
      </c>
      <c r="O37" s="82">
        <v>53511</v>
      </c>
      <c r="P37" s="85">
        <v>61.102550000000001</v>
      </c>
    </row>
    <row r="38" spans="1:16" x14ac:dyDescent="0.2">
      <c r="A38" s="81">
        <v>35</v>
      </c>
      <c r="B38" s="81" t="str">
        <f t="shared" si="0"/>
        <v>HHW23-500um</v>
      </c>
      <c r="C38" s="81" t="s">
        <v>49</v>
      </c>
      <c r="D38" s="81" t="s">
        <v>329</v>
      </c>
      <c r="E38" s="81" t="s">
        <v>343</v>
      </c>
      <c r="F38" s="82">
        <v>130974</v>
      </c>
      <c r="G38" s="82">
        <v>114685</v>
      </c>
      <c r="H38" s="82">
        <v>113612</v>
      </c>
      <c r="I38" s="82">
        <v>111970</v>
      </c>
      <c r="J38" s="82">
        <v>106650</v>
      </c>
      <c r="K38" s="82">
        <v>103960</v>
      </c>
      <c r="L38" s="82">
        <v>95088</v>
      </c>
      <c r="M38" s="83">
        <v>0.7260067</v>
      </c>
      <c r="N38" s="84">
        <v>295</v>
      </c>
      <c r="O38" s="82">
        <v>86481</v>
      </c>
      <c r="P38" s="85">
        <v>294.49203</v>
      </c>
    </row>
    <row r="39" spans="1:16" x14ac:dyDescent="0.2">
      <c r="A39" s="81">
        <v>36</v>
      </c>
      <c r="B39" s="81" t="str">
        <f t="shared" si="0"/>
        <v>HHW24-500um</v>
      </c>
      <c r="C39" s="81" t="s">
        <v>50</v>
      </c>
      <c r="D39" s="81" t="s">
        <v>329</v>
      </c>
      <c r="E39" s="81" t="s">
        <v>342</v>
      </c>
      <c r="F39" s="82">
        <v>121462</v>
      </c>
      <c r="G39" s="82">
        <v>106738</v>
      </c>
      <c r="H39" s="82">
        <v>105831</v>
      </c>
      <c r="I39" s="82">
        <v>104992</v>
      </c>
      <c r="J39" s="82">
        <v>98751</v>
      </c>
      <c r="K39" s="82">
        <v>96918</v>
      </c>
      <c r="L39" s="82">
        <v>91645</v>
      </c>
      <c r="M39" s="83">
        <v>0.75451579999999996</v>
      </c>
      <c r="N39" s="84">
        <v>257</v>
      </c>
      <c r="O39" s="82">
        <v>79691</v>
      </c>
      <c r="P39" s="85">
        <v>256.44517000000002</v>
      </c>
    </row>
    <row r="40" spans="1:16" x14ac:dyDescent="0.2">
      <c r="A40" s="81">
        <v>37</v>
      </c>
      <c r="B40" s="81" t="str">
        <f t="shared" si="0"/>
        <v>HHW02-sessile</v>
      </c>
      <c r="C40" s="81" t="s">
        <v>33</v>
      </c>
      <c r="D40" s="81" t="s">
        <v>330</v>
      </c>
      <c r="E40" s="81" t="s">
        <v>340</v>
      </c>
      <c r="F40" s="82">
        <v>100807</v>
      </c>
      <c r="G40" s="82">
        <v>87704</v>
      </c>
      <c r="H40" s="82">
        <v>85858</v>
      </c>
      <c r="I40" s="82">
        <v>82757</v>
      </c>
      <c r="J40" s="82">
        <v>81243</v>
      </c>
      <c r="K40" s="82">
        <v>81210</v>
      </c>
      <c r="L40" s="82">
        <v>75512</v>
      </c>
      <c r="M40" s="83">
        <v>0.74907500000000005</v>
      </c>
      <c r="N40" s="84">
        <v>405</v>
      </c>
      <c r="O40" s="82">
        <v>70171</v>
      </c>
      <c r="P40" s="85">
        <v>404.74074000000002</v>
      </c>
    </row>
    <row r="41" spans="1:16" x14ac:dyDescent="0.2">
      <c r="A41" s="81">
        <v>38</v>
      </c>
      <c r="B41" s="81" t="str">
        <f t="shared" si="0"/>
        <v>HHW03-sessile</v>
      </c>
      <c r="C41" s="81" t="s">
        <v>34</v>
      </c>
      <c r="D41" s="81" t="s">
        <v>330</v>
      </c>
      <c r="E41" s="81" t="s">
        <v>341</v>
      </c>
      <c r="F41" s="82">
        <v>110647</v>
      </c>
      <c r="G41" s="82">
        <v>95508</v>
      </c>
      <c r="H41" s="82">
        <v>93965</v>
      </c>
      <c r="I41" s="82">
        <v>90946</v>
      </c>
      <c r="J41" s="82">
        <v>87469</v>
      </c>
      <c r="K41" s="82">
        <v>87410</v>
      </c>
      <c r="L41" s="82">
        <v>81360</v>
      </c>
      <c r="M41" s="83">
        <v>0.73531139999999995</v>
      </c>
      <c r="N41" s="84">
        <v>362</v>
      </c>
      <c r="O41" s="82">
        <v>75081</v>
      </c>
      <c r="P41" s="85">
        <v>361.69614999999999</v>
      </c>
    </row>
    <row r="42" spans="1:16" x14ac:dyDescent="0.2">
      <c r="A42" s="81">
        <v>39</v>
      </c>
      <c r="B42" s="81" t="str">
        <f t="shared" si="0"/>
        <v>HHW04-sessile</v>
      </c>
      <c r="C42" s="81" t="s">
        <v>35</v>
      </c>
      <c r="D42" s="81" t="s">
        <v>330</v>
      </c>
      <c r="E42" s="81" t="s">
        <v>341</v>
      </c>
      <c r="F42" s="82">
        <v>101171</v>
      </c>
      <c r="G42" s="82">
        <v>87821</v>
      </c>
      <c r="H42" s="82">
        <v>86146</v>
      </c>
      <c r="I42" s="82">
        <v>83943</v>
      </c>
      <c r="J42" s="82">
        <v>81585</v>
      </c>
      <c r="K42" s="82">
        <v>80941</v>
      </c>
      <c r="L42" s="82">
        <v>73877</v>
      </c>
      <c r="M42" s="83">
        <v>0.73021910000000001</v>
      </c>
      <c r="N42" s="84">
        <v>435</v>
      </c>
      <c r="O42" s="82">
        <v>69881</v>
      </c>
      <c r="P42" s="85">
        <v>434.77753000000001</v>
      </c>
    </row>
    <row r="43" spans="1:16" x14ac:dyDescent="0.2">
      <c r="A43" s="81">
        <v>40</v>
      </c>
      <c r="B43" s="81" t="str">
        <f t="shared" si="0"/>
        <v>HHW05-sessile</v>
      </c>
      <c r="C43" s="81" t="s">
        <v>36</v>
      </c>
      <c r="D43" s="81" t="s">
        <v>330</v>
      </c>
      <c r="E43" s="81" t="s">
        <v>339</v>
      </c>
      <c r="F43" s="82">
        <v>81291</v>
      </c>
      <c r="G43" s="82">
        <v>68360</v>
      </c>
      <c r="H43" s="82">
        <v>66995</v>
      </c>
      <c r="I43" s="82">
        <v>64523</v>
      </c>
      <c r="J43" s="82">
        <v>62221</v>
      </c>
      <c r="K43" s="82">
        <v>62110</v>
      </c>
      <c r="L43" s="82">
        <v>57566</v>
      </c>
      <c r="M43" s="83">
        <v>0.70814730000000004</v>
      </c>
      <c r="N43" s="84">
        <v>331</v>
      </c>
      <c r="O43" s="82">
        <v>54701</v>
      </c>
      <c r="P43" s="85">
        <v>330.83456000000001</v>
      </c>
    </row>
    <row r="44" spans="1:16" x14ac:dyDescent="0.2">
      <c r="A44" s="81">
        <v>41</v>
      </c>
      <c r="B44" s="81" t="str">
        <f t="shared" si="0"/>
        <v>HHW06-sessile</v>
      </c>
      <c r="C44" s="81" t="s">
        <v>37</v>
      </c>
      <c r="D44" s="81" t="s">
        <v>330</v>
      </c>
      <c r="E44" s="81" t="s">
        <v>342</v>
      </c>
      <c r="F44" s="82">
        <v>82630</v>
      </c>
      <c r="G44" s="82">
        <v>72772</v>
      </c>
      <c r="H44" s="82">
        <v>71486</v>
      </c>
      <c r="I44" s="82">
        <v>69168</v>
      </c>
      <c r="J44" s="82">
        <v>67155</v>
      </c>
      <c r="K44" s="82">
        <v>67084</v>
      </c>
      <c r="L44" s="82">
        <v>62481</v>
      </c>
      <c r="M44" s="83">
        <v>0.75615390000000005</v>
      </c>
      <c r="N44" s="84">
        <v>362</v>
      </c>
      <c r="O44" s="82">
        <v>58871</v>
      </c>
      <c r="P44" s="85">
        <v>361.82342999999997</v>
      </c>
    </row>
    <row r="45" spans="1:16" x14ac:dyDescent="0.2">
      <c r="A45" s="81">
        <v>42</v>
      </c>
      <c r="B45" s="81" t="str">
        <f t="shared" si="0"/>
        <v>HHW07-sessile</v>
      </c>
      <c r="C45" s="81" t="s">
        <v>38</v>
      </c>
      <c r="D45" s="81" t="s">
        <v>330</v>
      </c>
      <c r="E45" s="81" t="s">
        <v>339</v>
      </c>
      <c r="F45" s="82">
        <v>109963</v>
      </c>
      <c r="G45" s="82">
        <v>93901</v>
      </c>
      <c r="H45" s="82">
        <v>92269</v>
      </c>
      <c r="I45" s="82">
        <v>89601</v>
      </c>
      <c r="J45" s="82">
        <v>85807</v>
      </c>
      <c r="K45" s="82">
        <v>85758</v>
      </c>
      <c r="L45" s="82">
        <v>79768</v>
      </c>
      <c r="M45" s="83">
        <v>0.72540760000000004</v>
      </c>
      <c r="N45" s="84">
        <v>341</v>
      </c>
      <c r="O45" s="82">
        <v>71001</v>
      </c>
      <c r="P45" s="85">
        <v>340.58458000000002</v>
      </c>
    </row>
    <row r="46" spans="1:16" x14ac:dyDescent="0.2">
      <c r="A46" s="81">
        <v>43</v>
      </c>
      <c r="B46" s="81" t="str">
        <f t="shared" si="0"/>
        <v>HHW08-sessile</v>
      </c>
      <c r="C46" s="81" t="s">
        <v>39</v>
      </c>
      <c r="D46" s="81" t="s">
        <v>330</v>
      </c>
      <c r="E46" s="81" t="s">
        <v>228</v>
      </c>
      <c r="F46" s="82">
        <v>107796</v>
      </c>
      <c r="G46" s="82">
        <v>92025</v>
      </c>
      <c r="H46" s="82">
        <v>90015</v>
      </c>
      <c r="I46" s="82">
        <v>87254</v>
      </c>
      <c r="J46" s="82">
        <v>82603</v>
      </c>
      <c r="K46" s="82">
        <v>82528</v>
      </c>
      <c r="L46" s="82">
        <v>77376</v>
      </c>
      <c r="M46" s="83">
        <v>0.71780029999999995</v>
      </c>
      <c r="N46" s="84">
        <v>405</v>
      </c>
      <c r="O46" s="82">
        <v>72271</v>
      </c>
      <c r="P46" s="85">
        <v>404.75051999999999</v>
      </c>
    </row>
    <row r="47" spans="1:16" x14ac:dyDescent="0.2">
      <c r="A47" s="81">
        <v>44</v>
      </c>
      <c r="B47" s="81" t="str">
        <f t="shared" si="0"/>
        <v>HHW10-sessile</v>
      </c>
      <c r="C47" s="81" t="s">
        <v>40</v>
      </c>
      <c r="D47" s="81" t="s">
        <v>330</v>
      </c>
      <c r="E47" s="81" t="s">
        <v>343</v>
      </c>
      <c r="F47" s="82">
        <v>112727</v>
      </c>
      <c r="G47" s="82">
        <v>99238</v>
      </c>
      <c r="H47" s="82">
        <v>97557</v>
      </c>
      <c r="I47" s="82">
        <v>94314</v>
      </c>
      <c r="J47" s="82">
        <v>90273</v>
      </c>
      <c r="K47" s="82">
        <v>89977</v>
      </c>
      <c r="L47" s="82">
        <v>84444</v>
      </c>
      <c r="M47" s="83">
        <v>0.74910180000000004</v>
      </c>
      <c r="N47" s="84">
        <v>395</v>
      </c>
      <c r="O47" s="82">
        <v>77881</v>
      </c>
      <c r="P47" s="85">
        <v>394.64152000000001</v>
      </c>
    </row>
    <row r="48" spans="1:16" x14ac:dyDescent="0.2">
      <c r="A48" s="81">
        <v>45</v>
      </c>
      <c r="B48" s="81" t="str">
        <f t="shared" si="0"/>
        <v>HHW11-sessile</v>
      </c>
      <c r="C48" s="81" t="s">
        <v>41</v>
      </c>
      <c r="D48" s="81" t="s">
        <v>330</v>
      </c>
      <c r="E48" s="81" t="s">
        <v>339</v>
      </c>
      <c r="F48" s="82">
        <v>121051</v>
      </c>
      <c r="G48" s="82">
        <v>104425</v>
      </c>
      <c r="H48" s="82">
        <v>103303</v>
      </c>
      <c r="I48" s="82">
        <v>101977</v>
      </c>
      <c r="J48" s="82">
        <v>96530</v>
      </c>
      <c r="K48" s="82">
        <v>96469</v>
      </c>
      <c r="L48" s="82">
        <v>89709</v>
      </c>
      <c r="M48" s="83">
        <v>0.74108430000000003</v>
      </c>
      <c r="N48" s="84">
        <v>304</v>
      </c>
      <c r="O48" s="82">
        <v>81741</v>
      </c>
      <c r="P48" s="85">
        <v>303.61685</v>
      </c>
    </row>
    <row r="49" spans="1:19" x14ac:dyDescent="0.2">
      <c r="A49" s="81">
        <v>46</v>
      </c>
      <c r="B49" s="81" t="str">
        <f t="shared" si="0"/>
        <v>HHW13-sessile</v>
      </c>
      <c r="C49" s="81" t="s">
        <v>42</v>
      </c>
      <c r="D49" s="81" t="s">
        <v>330</v>
      </c>
      <c r="E49" s="81" t="s">
        <v>342</v>
      </c>
      <c r="F49" s="82">
        <v>67850</v>
      </c>
      <c r="G49" s="82">
        <v>57257</v>
      </c>
      <c r="H49" s="82">
        <v>55586</v>
      </c>
      <c r="I49" s="82">
        <v>54121</v>
      </c>
      <c r="J49" s="82">
        <v>52663</v>
      </c>
      <c r="K49" s="82">
        <v>52559</v>
      </c>
      <c r="L49" s="82">
        <v>48214</v>
      </c>
      <c r="M49" s="83">
        <v>0.71059689999999998</v>
      </c>
      <c r="N49" s="84">
        <v>339</v>
      </c>
      <c r="O49" s="82">
        <v>44621</v>
      </c>
      <c r="P49" s="85">
        <v>338.82889999999998</v>
      </c>
    </row>
    <row r="50" spans="1:19" x14ac:dyDescent="0.2">
      <c r="A50" s="81">
        <v>47</v>
      </c>
      <c r="B50" s="81" t="str">
        <f t="shared" si="0"/>
        <v>HHW14-sessile</v>
      </c>
      <c r="C50" s="81" t="s">
        <v>43</v>
      </c>
      <c r="D50" s="81" t="s">
        <v>330</v>
      </c>
      <c r="E50" s="81" t="s">
        <v>228</v>
      </c>
      <c r="F50" s="82">
        <v>77058</v>
      </c>
      <c r="G50" s="82">
        <v>64320</v>
      </c>
      <c r="H50" s="82">
        <v>62286</v>
      </c>
      <c r="I50" s="82">
        <v>60305</v>
      </c>
      <c r="J50" s="82">
        <v>59321</v>
      </c>
      <c r="K50" s="82">
        <v>59129</v>
      </c>
      <c r="L50" s="82">
        <v>54171</v>
      </c>
      <c r="M50" s="83">
        <v>0.70299</v>
      </c>
      <c r="N50" s="84">
        <v>363</v>
      </c>
      <c r="O50" s="82">
        <v>51001</v>
      </c>
      <c r="P50" s="85">
        <v>362.84579000000002</v>
      </c>
    </row>
    <row r="51" spans="1:19" x14ac:dyDescent="0.2">
      <c r="A51" s="81">
        <v>48</v>
      </c>
      <c r="B51" s="81" t="str">
        <f t="shared" si="0"/>
        <v>HHW15-sessile</v>
      </c>
      <c r="C51" s="81" t="s">
        <v>44</v>
      </c>
      <c r="D51" s="81" t="s">
        <v>330</v>
      </c>
      <c r="E51" s="81" t="s">
        <v>228</v>
      </c>
      <c r="F51" s="82">
        <v>99907</v>
      </c>
      <c r="G51" s="82">
        <v>87288</v>
      </c>
      <c r="H51" s="82">
        <v>85635</v>
      </c>
      <c r="I51" s="82">
        <v>82403</v>
      </c>
      <c r="J51" s="82">
        <v>78778</v>
      </c>
      <c r="K51" s="82">
        <v>78725</v>
      </c>
      <c r="L51" s="82">
        <v>74002</v>
      </c>
      <c r="M51" s="83">
        <v>0.7407089</v>
      </c>
      <c r="N51" s="84">
        <v>398</v>
      </c>
      <c r="O51" s="82">
        <v>69691</v>
      </c>
      <c r="P51" s="85">
        <v>397.78769999999997</v>
      </c>
    </row>
    <row r="52" spans="1:19" x14ac:dyDescent="0.2">
      <c r="A52" s="81">
        <v>49</v>
      </c>
      <c r="B52" s="81" t="str">
        <f t="shared" si="0"/>
        <v>HHW16-sessile</v>
      </c>
      <c r="C52" s="81" t="s">
        <v>45</v>
      </c>
      <c r="D52" s="81" t="s">
        <v>330</v>
      </c>
      <c r="E52" s="81" t="s">
        <v>343</v>
      </c>
      <c r="F52" s="82">
        <v>129762</v>
      </c>
      <c r="G52" s="82">
        <v>114111</v>
      </c>
      <c r="H52" s="82">
        <v>111824</v>
      </c>
      <c r="I52" s="82">
        <v>108615</v>
      </c>
      <c r="J52" s="82">
        <v>103546</v>
      </c>
      <c r="K52" s="82">
        <v>103037</v>
      </c>
      <c r="L52" s="82">
        <v>95625</v>
      </c>
      <c r="M52" s="83">
        <v>0.73692610000000003</v>
      </c>
      <c r="N52" s="84">
        <v>517</v>
      </c>
      <c r="O52" s="82">
        <v>88241</v>
      </c>
      <c r="P52" s="85">
        <v>516.64353000000006</v>
      </c>
    </row>
    <row r="53" spans="1:19" x14ac:dyDescent="0.2">
      <c r="A53" s="81">
        <v>50</v>
      </c>
      <c r="B53" s="81" t="str">
        <f t="shared" si="0"/>
        <v>HHW18-sessile</v>
      </c>
      <c r="C53" s="81" t="s">
        <v>46</v>
      </c>
      <c r="D53" s="81" t="s">
        <v>330</v>
      </c>
      <c r="E53" s="81" t="s">
        <v>341</v>
      </c>
      <c r="F53" s="82">
        <v>74236</v>
      </c>
      <c r="G53" s="82">
        <v>58963</v>
      </c>
      <c r="H53" s="82">
        <v>57560</v>
      </c>
      <c r="I53" s="82">
        <v>55556</v>
      </c>
      <c r="J53" s="82">
        <v>54551</v>
      </c>
      <c r="K53" s="82">
        <v>54434</v>
      </c>
      <c r="L53" s="82">
        <v>50259</v>
      </c>
      <c r="M53" s="83">
        <v>0.67701650000000002</v>
      </c>
      <c r="N53" s="84">
        <v>348</v>
      </c>
      <c r="O53" s="82">
        <v>45811</v>
      </c>
      <c r="P53" s="85">
        <v>347.79012999999998</v>
      </c>
    </row>
    <row r="54" spans="1:19" x14ac:dyDescent="0.2">
      <c r="A54" s="81">
        <v>51</v>
      </c>
      <c r="B54" s="81" t="str">
        <f t="shared" si="0"/>
        <v>HHW19-sessile</v>
      </c>
      <c r="C54" s="81" t="s">
        <v>47</v>
      </c>
      <c r="D54" s="81" t="s">
        <v>330</v>
      </c>
      <c r="E54" s="81" t="s">
        <v>340</v>
      </c>
      <c r="F54" s="82">
        <v>157061</v>
      </c>
      <c r="G54" s="82">
        <v>138021</v>
      </c>
      <c r="H54" s="82">
        <v>135756</v>
      </c>
      <c r="I54" s="82">
        <v>131492</v>
      </c>
      <c r="J54" s="82">
        <v>126615</v>
      </c>
      <c r="K54" s="82">
        <v>125985</v>
      </c>
      <c r="L54" s="82">
        <v>117475</v>
      </c>
      <c r="M54" s="83">
        <v>0.74795780000000001</v>
      </c>
      <c r="N54" s="84">
        <v>536</v>
      </c>
      <c r="O54" s="82">
        <v>107011</v>
      </c>
      <c r="P54" s="85">
        <v>535.45324000000005</v>
      </c>
    </row>
    <row r="55" spans="1:19" x14ac:dyDescent="0.2">
      <c r="A55" s="81">
        <v>52</v>
      </c>
      <c r="B55" s="81" t="str">
        <f t="shared" si="0"/>
        <v>HHW21-sessile</v>
      </c>
      <c r="C55" s="81" t="s">
        <v>48</v>
      </c>
      <c r="D55" s="81" t="s">
        <v>330</v>
      </c>
      <c r="E55" s="81" t="s">
        <v>340</v>
      </c>
      <c r="F55" s="82">
        <v>83932</v>
      </c>
      <c r="G55" s="82">
        <v>71997</v>
      </c>
      <c r="H55" s="82">
        <v>70489</v>
      </c>
      <c r="I55" s="82">
        <v>68596</v>
      </c>
      <c r="J55" s="82">
        <v>67345</v>
      </c>
      <c r="K55" s="82">
        <v>66571</v>
      </c>
      <c r="L55" s="82">
        <v>60295</v>
      </c>
      <c r="M55" s="83">
        <v>0.7183792</v>
      </c>
      <c r="N55" s="84">
        <v>336</v>
      </c>
      <c r="O55" s="82">
        <v>55281</v>
      </c>
      <c r="P55" s="85">
        <v>335.76211000000001</v>
      </c>
    </row>
    <row r="56" spans="1:19" x14ac:dyDescent="0.2">
      <c r="A56" s="81">
        <v>53</v>
      </c>
      <c r="B56" s="81" t="str">
        <f t="shared" si="0"/>
        <v>HHW23-sessile</v>
      </c>
      <c r="C56" s="81" t="s">
        <v>49</v>
      </c>
      <c r="D56" s="81" t="s">
        <v>330</v>
      </c>
      <c r="E56" s="81" t="s">
        <v>343</v>
      </c>
      <c r="F56" s="82">
        <v>139985</v>
      </c>
      <c r="G56" s="82">
        <v>124241</v>
      </c>
      <c r="H56" s="82">
        <v>122342</v>
      </c>
      <c r="I56" s="82">
        <v>118793</v>
      </c>
      <c r="J56" s="82">
        <v>114480</v>
      </c>
      <c r="K56" s="82">
        <v>113714</v>
      </c>
      <c r="L56" s="82">
        <v>105193</v>
      </c>
      <c r="M56" s="83">
        <v>0.75145910000000005</v>
      </c>
      <c r="N56" s="84">
        <v>489</v>
      </c>
      <c r="O56" s="82">
        <v>96781</v>
      </c>
      <c r="P56" s="85">
        <v>488.59280999999999</v>
      </c>
    </row>
    <row r="57" spans="1:19" x14ac:dyDescent="0.2">
      <c r="A57" s="81">
        <v>54</v>
      </c>
      <c r="B57" s="81" t="str">
        <f t="shared" si="0"/>
        <v>HHW24-sessile</v>
      </c>
      <c r="C57" s="81" t="s">
        <v>50</v>
      </c>
      <c r="D57" s="81" t="s">
        <v>330</v>
      </c>
      <c r="E57" s="81" t="s">
        <v>342</v>
      </c>
      <c r="F57" s="82">
        <v>95845</v>
      </c>
      <c r="G57" s="82">
        <v>84105</v>
      </c>
      <c r="H57" s="82">
        <v>82442</v>
      </c>
      <c r="I57" s="82">
        <v>79668</v>
      </c>
      <c r="J57" s="82">
        <v>77526</v>
      </c>
      <c r="K57" s="82">
        <v>77396</v>
      </c>
      <c r="L57" s="82">
        <v>71456</v>
      </c>
      <c r="M57" s="83">
        <v>0.74553709999999995</v>
      </c>
      <c r="N57" s="84">
        <v>428</v>
      </c>
      <c r="O57" s="82">
        <v>65891</v>
      </c>
      <c r="P57" s="85">
        <v>427.73246999999998</v>
      </c>
    </row>
    <row r="58" spans="1:19" x14ac:dyDescent="0.2">
      <c r="A58" s="81" t="s">
        <v>338</v>
      </c>
      <c r="B58" s="81"/>
      <c r="C58" s="81"/>
      <c r="D58" s="81"/>
      <c r="E58" s="81"/>
      <c r="F58" s="82">
        <f>SUM(F4:F57)</f>
        <v>5847714</v>
      </c>
      <c r="G58" s="82">
        <f t="shared" ref="G58:N58" si="1">SUM(G4:G57)</f>
        <v>5056307</v>
      </c>
      <c r="H58" s="82">
        <f t="shared" si="1"/>
        <v>4933297</v>
      </c>
      <c r="I58" s="82">
        <f t="shared" si="1"/>
        <v>4807283</v>
      </c>
      <c r="J58" s="82">
        <f t="shared" si="1"/>
        <v>4628537</v>
      </c>
      <c r="K58" s="82">
        <f t="shared" si="1"/>
        <v>4516184</v>
      </c>
      <c r="L58" s="82">
        <f t="shared" si="1"/>
        <v>4163278</v>
      </c>
      <c r="M58" s="83">
        <f>L58/F58</f>
        <v>0.71194966101283341</v>
      </c>
      <c r="N58" s="84"/>
      <c r="O58" s="82">
        <f t="shared" ref="O58" si="2">SUM(O4:O57)</f>
        <v>3790384</v>
      </c>
      <c r="P58" s="85"/>
    </row>
    <row r="59" spans="1:19" x14ac:dyDescent="0.2">
      <c r="A59" s="86"/>
      <c r="B59" s="87"/>
      <c r="C59" s="87"/>
      <c r="D59" s="87"/>
      <c r="E59" s="87"/>
      <c r="F59" s="88"/>
      <c r="G59" s="88"/>
      <c r="H59" s="88"/>
      <c r="I59" s="88"/>
      <c r="J59" s="88"/>
      <c r="K59" s="88"/>
      <c r="L59" s="88"/>
      <c r="M59" s="89"/>
      <c r="N59" s="90"/>
      <c r="O59" s="91"/>
      <c r="P59" s="90"/>
      <c r="R59" s="78"/>
      <c r="S59" s="77"/>
    </row>
    <row r="60" spans="1:19" x14ac:dyDescent="0.2">
      <c r="A60" s="81" t="s">
        <v>344</v>
      </c>
      <c r="B60" s="81" t="s">
        <v>333</v>
      </c>
      <c r="C60" s="81" t="s">
        <v>318</v>
      </c>
      <c r="D60" s="92" t="s">
        <v>319</v>
      </c>
      <c r="E60" s="92" t="s">
        <v>331</v>
      </c>
      <c r="F60" s="92" t="s">
        <v>320</v>
      </c>
      <c r="G60" s="92" t="s">
        <v>321</v>
      </c>
      <c r="H60" s="92" t="s">
        <v>322</v>
      </c>
      <c r="I60" s="92" t="s">
        <v>323</v>
      </c>
      <c r="J60" s="92" t="s">
        <v>324</v>
      </c>
      <c r="K60" s="92" t="s">
        <v>325</v>
      </c>
      <c r="L60" s="92" t="s">
        <v>335</v>
      </c>
      <c r="M60" s="92" t="s">
        <v>327</v>
      </c>
      <c r="N60" s="92" t="s">
        <v>326</v>
      </c>
      <c r="O60" s="91"/>
      <c r="P60" s="90"/>
      <c r="R60" s="78"/>
      <c r="S60" s="77"/>
    </row>
    <row r="61" spans="1:19" x14ac:dyDescent="0.2">
      <c r="A61" s="81">
        <v>55</v>
      </c>
      <c r="B61" s="81" t="str">
        <f t="shared" si="0"/>
        <v>HHW02-ByARMS</v>
      </c>
      <c r="C61" s="81" t="s">
        <v>33</v>
      </c>
      <c r="D61" s="81" t="s">
        <v>332</v>
      </c>
      <c r="E61" s="81" t="s">
        <v>340</v>
      </c>
      <c r="F61" s="82">
        <f>F4+F22+F40</f>
        <v>293138</v>
      </c>
      <c r="G61" s="82">
        <f t="shared" ref="G61:L61" si="3">G4+G22+G40</f>
        <v>253142</v>
      </c>
      <c r="H61" s="82">
        <f t="shared" si="3"/>
        <v>248698</v>
      </c>
      <c r="I61" s="82">
        <f t="shared" si="3"/>
        <v>240723</v>
      </c>
      <c r="J61" s="82">
        <f t="shared" si="3"/>
        <v>235268</v>
      </c>
      <c r="K61" s="82">
        <f t="shared" si="3"/>
        <v>223222</v>
      </c>
      <c r="L61" s="82">
        <f t="shared" si="3"/>
        <v>204467</v>
      </c>
      <c r="M61" s="83">
        <f>L61/F61</f>
        <v>0.69751106987152811</v>
      </c>
      <c r="N61" s="84">
        <v>796</v>
      </c>
      <c r="O61" s="86"/>
      <c r="P61" s="90"/>
    </row>
    <row r="62" spans="1:19" x14ac:dyDescent="0.2">
      <c r="A62" s="81">
        <v>56</v>
      </c>
      <c r="B62" s="81" t="str">
        <f t="shared" si="0"/>
        <v>HHW03-ByARMS</v>
      </c>
      <c r="C62" s="81" t="s">
        <v>34</v>
      </c>
      <c r="D62" s="81" t="s">
        <v>332</v>
      </c>
      <c r="E62" s="81" t="s">
        <v>341</v>
      </c>
      <c r="F62" s="82">
        <f t="shared" ref="F62:L62" si="4">F5+F23+F41</f>
        <v>294115</v>
      </c>
      <c r="G62" s="82">
        <f t="shared" si="4"/>
        <v>255861</v>
      </c>
      <c r="H62" s="82">
        <f t="shared" si="4"/>
        <v>251664</v>
      </c>
      <c r="I62" s="82">
        <f t="shared" si="4"/>
        <v>246067</v>
      </c>
      <c r="J62" s="82">
        <f t="shared" si="4"/>
        <v>234003</v>
      </c>
      <c r="K62" s="82">
        <f t="shared" si="4"/>
        <v>228602</v>
      </c>
      <c r="L62" s="82">
        <f t="shared" si="4"/>
        <v>213008</v>
      </c>
      <c r="M62" s="83">
        <f t="shared" ref="M62:M78" si="5">L62/F62</f>
        <v>0.72423371810346293</v>
      </c>
      <c r="N62" s="84">
        <v>802</v>
      </c>
      <c r="O62" s="86"/>
      <c r="P62" s="90"/>
    </row>
    <row r="63" spans="1:19" x14ac:dyDescent="0.2">
      <c r="A63" s="81">
        <v>57</v>
      </c>
      <c r="B63" s="81" t="str">
        <f t="shared" si="0"/>
        <v>HHW04-ByARMS</v>
      </c>
      <c r="C63" s="81" t="s">
        <v>35</v>
      </c>
      <c r="D63" s="81" t="s">
        <v>332</v>
      </c>
      <c r="E63" s="81" t="s">
        <v>341</v>
      </c>
      <c r="F63" s="82">
        <f t="shared" ref="F63:L63" si="6">F6+F24+F42</f>
        <v>283774</v>
      </c>
      <c r="G63" s="82">
        <f t="shared" si="6"/>
        <v>245032</v>
      </c>
      <c r="H63" s="82">
        <f t="shared" si="6"/>
        <v>238175</v>
      </c>
      <c r="I63" s="82">
        <f t="shared" si="6"/>
        <v>233036</v>
      </c>
      <c r="J63" s="82">
        <f t="shared" si="6"/>
        <v>224334</v>
      </c>
      <c r="K63" s="82">
        <f t="shared" si="6"/>
        <v>220281</v>
      </c>
      <c r="L63" s="82">
        <f t="shared" si="6"/>
        <v>201634</v>
      </c>
      <c r="M63" s="83">
        <f t="shared" si="5"/>
        <v>0.71054430638465826</v>
      </c>
      <c r="N63" s="84">
        <v>779</v>
      </c>
      <c r="O63" s="86"/>
      <c r="P63" s="90"/>
    </row>
    <row r="64" spans="1:19" x14ac:dyDescent="0.2">
      <c r="A64" s="81">
        <v>58</v>
      </c>
      <c r="B64" s="81" t="str">
        <f t="shared" si="0"/>
        <v>HHW05-ByARMS</v>
      </c>
      <c r="C64" s="81" t="s">
        <v>36</v>
      </c>
      <c r="D64" s="81" t="s">
        <v>332</v>
      </c>
      <c r="E64" s="81" t="s">
        <v>339</v>
      </c>
      <c r="F64" s="82">
        <f t="shared" ref="F64:L64" si="7">F7+F25+F43</f>
        <v>292999</v>
      </c>
      <c r="G64" s="82">
        <f t="shared" si="7"/>
        <v>248535</v>
      </c>
      <c r="H64" s="82">
        <f t="shared" si="7"/>
        <v>244551</v>
      </c>
      <c r="I64" s="82">
        <f t="shared" si="7"/>
        <v>235591</v>
      </c>
      <c r="J64" s="82">
        <f t="shared" si="7"/>
        <v>231238</v>
      </c>
      <c r="K64" s="82">
        <f t="shared" si="7"/>
        <v>223471</v>
      </c>
      <c r="L64" s="82">
        <f t="shared" si="7"/>
        <v>203739</v>
      </c>
      <c r="M64" s="83">
        <f t="shared" si="5"/>
        <v>0.69535732203864176</v>
      </c>
      <c r="N64" s="84">
        <v>783</v>
      </c>
      <c r="O64" s="86"/>
      <c r="P64" s="90"/>
    </row>
    <row r="65" spans="1:16" x14ac:dyDescent="0.2">
      <c r="A65" s="81">
        <v>59</v>
      </c>
      <c r="B65" s="81" t="str">
        <f t="shared" si="0"/>
        <v>HHW06-ByARMS</v>
      </c>
      <c r="C65" s="81" t="s">
        <v>37</v>
      </c>
      <c r="D65" s="81" t="s">
        <v>332</v>
      </c>
      <c r="E65" s="81" t="s">
        <v>342</v>
      </c>
      <c r="F65" s="82">
        <f t="shared" ref="F65:L65" si="8">F8+F26+F44</f>
        <v>302846</v>
      </c>
      <c r="G65" s="82">
        <f t="shared" si="8"/>
        <v>263622</v>
      </c>
      <c r="H65" s="82">
        <f t="shared" si="8"/>
        <v>259572</v>
      </c>
      <c r="I65" s="82">
        <f t="shared" si="8"/>
        <v>252959</v>
      </c>
      <c r="J65" s="82">
        <f t="shared" si="8"/>
        <v>243084</v>
      </c>
      <c r="K65" s="82">
        <f t="shared" si="8"/>
        <v>232047</v>
      </c>
      <c r="L65" s="82">
        <f t="shared" si="8"/>
        <v>215734</v>
      </c>
      <c r="M65" s="83">
        <f t="shared" si="5"/>
        <v>0.71235545458748006</v>
      </c>
      <c r="N65" s="84">
        <v>788</v>
      </c>
      <c r="O65" s="86"/>
      <c r="P65" s="90"/>
    </row>
    <row r="66" spans="1:16" x14ac:dyDescent="0.2">
      <c r="A66" s="81">
        <v>60</v>
      </c>
      <c r="B66" s="81" t="str">
        <f t="shared" si="0"/>
        <v>HHW07-ByARMS</v>
      </c>
      <c r="C66" s="81" t="s">
        <v>38</v>
      </c>
      <c r="D66" s="81" t="s">
        <v>332</v>
      </c>
      <c r="E66" s="81" t="s">
        <v>339</v>
      </c>
      <c r="F66" s="82">
        <f t="shared" ref="F66:L66" si="9">F9+F27+F45</f>
        <v>319449</v>
      </c>
      <c r="G66" s="82">
        <f t="shared" si="9"/>
        <v>274088</v>
      </c>
      <c r="H66" s="82">
        <f t="shared" si="9"/>
        <v>269400</v>
      </c>
      <c r="I66" s="82">
        <f t="shared" si="9"/>
        <v>263398</v>
      </c>
      <c r="J66" s="82">
        <f t="shared" si="9"/>
        <v>254541</v>
      </c>
      <c r="K66" s="82">
        <f t="shared" si="9"/>
        <v>246726</v>
      </c>
      <c r="L66" s="82">
        <f t="shared" si="9"/>
        <v>225868</v>
      </c>
      <c r="M66" s="83">
        <f t="shared" si="5"/>
        <v>0.70705496025969716</v>
      </c>
      <c r="N66" s="84">
        <v>799</v>
      </c>
      <c r="O66" s="86"/>
      <c r="P66" s="90"/>
    </row>
    <row r="67" spans="1:16" x14ac:dyDescent="0.2">
      <c r="A67" s="81">
        <v>61</v>
      </c>
      <c r="B67" s="81" t="str">
        <f t="shared" si="0"/>
        <v>HHW08-ByARMS</v>
      </c>
      <c r="C67" s="81" t="s">
        <v>39</v>
      </c>
      <c r="D67" s="81" t="s">
        <v>332</v>
      </c>
      <c r="E67" s="81" t="s">
        <v>228</v>
      </c>
      <c r="F67" s="82">
        <f t="shared" ref="F67:L67" si="10">F10+F28+F46</f>
        <v>295820</v>
      </c>
      <c r="G67" s="82">
        <f t="shared" si="10"/>
        <v>253258</v>
      </c>
      <c r="H67" s="82">
        <f t="shared" si="10"/>
        <v>249134</v>
      </c>
      <c r="I67" s="82">
        <f t="shared" si="10"/>
        <v>243939</v>
      </c>
      <c r="J67" s="82">
        <f t="shared" si="10"/>
        <v>232450</v>
      </c>
      <c r="K67" s="82">
        <f t="shared" si="10"/>
        <v>231457</v>
      </c>
      <c r="L67" s="82">
        <f t="shared" si="10"/>
        <v>211684</v>
      </c>
      <c r="M67" s="83">
        <f t="shared" si="5"/>
        <v>0.71558380096004326</v>
      </c>
      <c r="N67" s="84">
        <v>797</v>
      </c>
      <c r="O67" s="86"/>
      <c r="P67" s="90"/>
    </row>
    <row r="68" spans="1:16" x14ac:dyDescent="0.2">
      <c r="A68" s="81">
        <v>62</v>
      </c>
      <c r="B68" s="81" t="str">
        <f t="shared" si="0"/>
        <v>HHW10-ByARMS</v>
      </c>
      <c r="C68" s="81" t="s">
        <v>40</v>
      </c>
      <c r="D68" s="81" t="s">
        <v>332</v>
      </c>
      <c r="E68" s="81" t="s">
        <v>343</v>
      </c>
      <c r="F68" s="82">
        <f t="shared" ref="F68:L68" si="11">F11+F29+F47</f>
        <v>297487</v>
      </c>
      <c r="G68" s="82">
        <f t="shared" si="11"/>
        <v>258604</v>
      </c>
      <c r="H68" s="82">
        <f t="shared" si="11"/>
        <v>245073</v>
      </c>
      <c r="I68" s="82">
        <f t="shared" si="11"/>
        <v>239365</v>
      </c>
      <c r="J68" s="82">
        <f t="shared" si="11"/>
        <v>226813</v>
      </c>
      <c r="K68" s="82">
        <f t="shared" si="11"/>
        <v>215640</v>
      </c>
      <c r="L68" s="82">
        <f t="shared" si="11"/>
        <v>202317</v>
      </c>
      <c r="M68" s="83">
        <f t="shared" si="5"/>
        <v>0.68008686093846116</v>
      </c>
      <c r="N68" s="84">
        <v>722</v>
      </c>
      <c r="O68" s="86"/>
      <c r="P68" s="90"/>
    </row>
    <row r="69" spans="1:16" x14ac:dyDescent="0.2">
      <c r="A69" s="81">
        <v>63</v>
      </c>
      <c r="B69" s="81" t="str">
        <f t="shared" si="0"/>
        <v>HHW11-ByARMS</v>
      </c>
      <c r="C69" s="81" t="s">
        <v>41</v>
      </c>
      <c r="D69" s="81" t="s">
        <v>332</v>
      </c>
      <c r="E69" s="81" t="s">
        <v>339</v>
      </c>
      <c r="F69" s="82">
        <f t="shared" ref="F69:L69" si="12">F12+F30+F48</f>
        <v>297336</v>
      </c>
      <c r="G69" s="82">
        <f t="shared" si="12"/>
        <v>256673</v>
      </c>
      <c r="H69" s="82">
        <f t="shared" si="12"/>
        <v>235969</v>
      </c>
      <c r="I69" s="82">
        <f t="shared" si="12"/>
        <v>229973</v>
      </c>
      <c r="J69" s="82">
        <f t="shared" si="12"/>
        <v>217351</v>
      </c>
      <c r="K69" s="82">
        <f t="shared" si="12"/>
        <v>215857</v>
      </c>
      <c r="L69" s="82">
        <f t="shared" si="12"/>
        <v>200967</v>
      </c>
      <c r="M69" s="83">
        <f t="shared" si="5"/>
        <v>0.67589192025183631</v>
      </c>
      <c r="N69" s="84">
        <v>665</v>
      </c>
      <c r="O69" s="86"/>
      <c r="P69" s="90"/>
    </row>
    <row r="70" spans="1:16" x14ac:dyDescent="0.2">
      <c r="A70" s="81">
        <v>64</v>
      </c>
      <c r="B70" s="81" t="str">
        <f t="shared" si="0"/>
        <v>HHW13-ByARMS</v>
      </c>
      <c r="C70" s="81" t="s">
        <v>42</v>
      </c>
      <c r="D70" s="81" t="s">
        <v>332</v>
      </c>
      <c r="E70" s="81" t="s">
        <v>342</v>
      </c>
      <c r="F70" s="82">
        <f t="shared" ref="F70:L70" si="13">F13+F31+F49</f>
        <v>364544</v>
      </c>
      <c r="G70" s="82">
        <f t="shared" si="13"/>
        <v>317290</v>
      </c>
      <c r="H70" s="82">
        <f t="shared" si="13"/>
        <v>304801</v>
      </c>
      <c r="I70" s="82">
        <f t="shared" si="13"/>
        <v>297643</v>
      </c>
      <c r="J70" s="82">
        <f t="shared" si="13"/>
        <v>287874</v>
      </c>
      <c r="K70" s="82">
        <f t="shared" si="13"/>
        <v>281093</v>
      </c>
      <c r="L70" s="82">
        <f t="shared" si="13"/>
        <v>259103</v>
      </c>
      <c r="M70" s="83">
        <f t="shared" si="5"/>
        <v>0.7107591950491573</v>
      </c>
      <c r="N70" s="84">
        <v>849</v>
      </c>
      <c r="O70" s="86"/>
      <c r="P70" s="90"/>
    </row>
    <row r="71" spans="1:16" x14ac:dyDescent="0.2">
      <c r="A71" s="81">
        <v>65</v>
      </c>
      <c r="B71" s="81" t="str">
        <f t="shared" si="0"/>
        <v>HHW14-ByARMS</v>
      </c>
      <c r="C71" s="81" t="s">
        <v>43</v>
      </c>
      <c r="D71" s="81" t="s">
        <v>332</v>
      </c>
      <c r="E71" s="81" t="s">
        <v>228</v>
      </c>
      <c r="F71" s="82">
        <f t="shared" ref="F71:L71" si="14">F14+F32+F50</f>
        <v>335172</v>
      </c>
      <c r="G71" s="82">
        <f t="shared" si="14"/>
        <v>286734</v>
      </c>
      <c r="H71" s="82">
        <f t="shared" si="14"/>
        <v>281931</v>
      </c>
      <c r="I71" s="82">
        <f t="shared" si="14"/>
        <v>273324</v>
      </c>
      <c r="J71" s="82">
        <f t="shared" si="14"/>
        <v>265045</v>
      </c>
      <c r="K71" s="82">
        <f t="shared" si="14"/>
        <v>256357</v>
      </c>
      <c r="L71" s="82">
        <f t="shared" si="14"/>
        <v>237745</v>
      </c>
      <c r="M71" s="83">
        <f t="shared" si="5"/>
        <v>0.70932237776425233</v>
      </c>
      <c r="N71" s="84">
        <v>775</v>
      </c>
      <c r="O71" s="86"/>
      <c r="P71" s="90"/>
    </row>
    <row r="72" spans="1:16" x14ac:dyDescent="0.2">
      <c r="A72" s="81">
        <v>66</v>
      </c>
      <c r="B72" s="81" t="str">
        <f t="shared" ref="B72:B78" si="15">C72&amp;"-"&amp;D72</f>
        <v>HHW15-ByARMS</v>
      </c>
      <c r="C72" s="81" t="s">
        <v>44</v>
      </c>
      <c r="D72" s="81" t="s">
        <v>332</v>
      </c>
      <c r="E72" s="81" t="s">
        <v>228</v>
      </c>
      <c r="F72" s="82">
        <f t="shared" ref="F72:L72" si="16">F15+F33+F51</f>
        <v>350689</v>
      </c>
      <c r="G72" s="82">
        <f t="shared" si="16"/>
        <v>307423</v>
      </c>
      <c r="H72" s="82">
        <f t="shared" si="16"/>
        <v>302715</v>
      </c>
      <c r="I72" s="82">
        <f t="shared" si="16"/>
        <v>293151</v>
      </c>
      <c r="J72" s="82">
        <f t="shared" si="16"/>
        <v>283549</v>
      </c>
      <c r="K72" s="82">
        <f t="shared" si="16"/>
        <v>280714</v>
      </c>
      <c r="L72" s="82">
        <f t="shared" si="16"/>
        <v>256858</v>
      </c>
      <c r="M72" s="83">
        <f t="shared" si="5"/>
        <v>0.7324381431981043</v>
      </c>
      <c r="N72" s="84">
        <v>809</v>
      </c>
      <c r="O72" s="86"/>
      <c r="P72" s="90"/>
    </row>
    <row r="73" spans="1:16" x14ac:dyDescent="0.2">
      <c r="A73" s="81">
        <v>67</v>
      </c>
      <c r="B73" s="81" t="str">
        <f t="shared" si="15"/>
        <v>HHW16-ByARMS</v>
      </c>
      <c r="C73" s="81" t="s">
        <v>45</v>
      </c>
      <c r="D73" s="81" t="s">
        <v>332</v>
      </c>
      <c r="E73" s="81" t="s">
        <v>343</v>
      </c>
      <c r="F73" s="82">
        <f t="shared" ref="F73:L73" si="17">F16+F34+F52</f>
        <v>385254</v>
      </c>
      <c r="G73" s="82">
        <f t="shared" si="17"/>
        <v>336989</v>
      </c>
      <c r="H73" s="82">
        <f t="shared" si="17"/>
        <v>330324</v>
      </c>
      <c r="I73" s="82">
        <f t="shared" si="17"/>
        <v>323328</v>
      </c>
      <c r="J73" s="82">
        <f t="shared" si="17"/>
        <v>311353</v>
      </c>
      <c r="K73" s="82">
        <f t="shared" si="17"/>
        <v>305665</v>
      </c>
      <c r="L73" s="82">
        <f t="shared" si="17"/>
        <v>279742</v>
      </c>
      <c r="M73" s="83">
        <f t="shared" si="5"/>
        <v>0.72612354446676741</v>
      </c>
      <c r="N73" s="84">
        <v>906</v>
      </c>
      <c r="O73" s="86"/>
      <c r="P73" s="90"/>
    </row>
    <row r="74" spans="1:16" x14ac:dyDescent="0.2">
      <c r="A74" s="81">
        <v>68</v>
      </c>
      <c r="B74" s="81" t="str">
        <f t="shared" si="15"/>
        <v>HHW18-ByARMS</v>
      </c>
      <c r="C74" s="81" t="s">
        <v>46</v>
      </c>
      <c r="D74" s="81" t="s">
        <v>332</v>
      </c>
      <c r="E74" s="81" t="s">
        <v>341</v>
      </c>
      <c r="F74" s="82">
        <f t="shared" ref="F74:L74" si="18">F17+F35+F53</f>
        <v>410234</v>
      </c>
      <c r="G74" s="82">
        <f t="shared" si="18"/>
        <v>351032</v>
      </c>
      <c r="H74" s="82">
        <f t="shared" si="18"/>
        <v>340823</v>
      </c>
      <c r="I74" s="82">
        <f t="shared" si="18"/>
        <v>333045</v>
      </c>
      <c r="J74" s="82">
        <f t="shared" si="18"/>
        <v>319351</v>
      </c>
      <c r="K74" s="82">
        <f t="shared" si="18"/>
        <v>308306</v>
      </c>
      <c r="L74" s="82">
        <f t="shared" si="18"/>
        <v>285782</v>
      </c>
      <c r="M74" s="83">
        <f t="shared" si="5"/>
        <v>0.69663167850543839</v>
      </c>
      <c r="N74" s="84">
        <v>932</v>
      </c>
      <c r="O74" s="86"/>
      <c r="P74" s="90"/>
    </row>
    <row r="75" spans="1:16" x14ac:dyDescent="0.2">
      <c r="A75" s="81">
        <v>69</v>
      </c>
      <c r="B75" s="81" t="str">
        <f t="shared" si="15"/>
        <v>HHW19-ByARMS</v>
      </c>
      <c r="C75" s="81" t="s">
        <v>47</v>
      </c>
      <c r="D75" s="81" t="s">
        <v>332</v>
      </c>
      <c r="E75" s="81" t="s">
        <v>340</v>
      </c>
      <c r="F75" s="82">
        <f t="shared" ref="F75:L75" si="19">F18+F36+F54</f>
        <v>363375</v>
      </c>
      <c r="G75" s="82">
        <f t="shared" si="19"/>
        <v>318388</v>
      </c>
      <c r="H75" s="82">
        <f t="shared" si="19"/>
        <v>313644</v>
      </c>
      <c r="I75" s="82">
        <f t="shared" si="19"/>
        <v>304804</v>
      </c>
      <c r="J75" s="82">
        <f t="shared" si="19"/>
        <v>294357</v>
      </c>
      <c r="K75" s="82">
        <f t="shared" si="19"/>
        <v>289700</v>
      </c>
      <c r="L75" s="82">
        <f t="shared" si="19"/>
        <v>269886</v>
      </c>
      <c r="M75" s="83">
        <f t="shared" si="5"/>
        <v>0.74272033023735806</v>
      </c>
      <c r="N75" s="84">
        <v>913</v>
      </c>
      <c r="O75" s="86"/>
      <c r="P75" s="90"/>
    </row>
    <row r="76" spans="1:16" x14ac:dyDescent="0.2">
      <c r="A76" s="81">
        <v>70</v>
      </c>
      <c r="B76" s="81" t="str">
        <f t="shared" si="15"/>
        <v>HHW21-ByARMS</v>
      </c>
      <c r="C76" s="81" t="s">
        <v>48</v>
      </c>
      <c r="D76" s="81" t="s">
        <v>332</v>
      </c>
      <c r="E76" s="81" t="s">
        <v>340</v>
      </c>
      <c r="F76" s="82">
        <f t="shared" ref="F76:L76" si="20">F19+F37+F55</f>
        <v>267258</v>
      </c>
      <c r="G76" s="82">
        <f t="shared" si="20"/>
        <v>224308</v>
      </c>
      <c r="H76" s="82">
        <f t="shared" si="20"/>
        <v>220726</v>
      </c>
      <c r="I76" s="82">
        <f t="shared" si="20"/>
        <v>216398</v>
      </c>
      <c r="J76" s="82">
        <f t="shared" si="20"/>
        <v>208661</v>
      </c>
      <c r="K76" s="82">
        <f t="shared" si="20"/>
        <v>206272</v>
      </c>
      <c r="L76" s="82">
        <f t="shared" si="20"/>
        <v>190188</v>
      </c>
      <c r="M76" s="83">
        <f t="shared" si="5"/>
        <v>0.71162696720023344</v>
      </c>
      <c r="N76" s="84">
        <v>626</v>
      </c>
      <c r="O76" s="86"/>
      <c r="P76" s="90"/>
    </row>
    <row r="77" spans="1:16" x14ac:dyDescent="0.2">
      <c r="A77" s="81">
        <v>71</v>
      </c>
      <c r="B77" s="81" t="str">
        <f t="shared" si="15"/>
        <v>HHW23-ByARMS</v>
      </c>
      <c r="C77" s="81" t="s">
        <v>49</v>
      </c>
      <c r="D77" s="81" t="s">
        <v>332</v>
      </c>
      <c r="E77" s="81" t="s">
        <v>343</v>
      </c>
      <c r="F77" s="82">
        <f t="shared" ref="F77:L77" si="21">F20+F38+F56</f>
        <v>375694</v>
      </c>
      <c r="G77" s="82">
        <f t="shared" si="21"/>
        <v>327623</v>
      </c>
      <c r="H77" s="82">
        <f t="shared" si="21"/>
        <v>323016</v>
      </c>
      <c r="I77" s="82">
        <f t="shared" si="21"/>
        <v>314356</v>
      </c>
      <c r="J77" s="82">
        <f t="shared" si="21"/>
        <v>303250</v>
      </c>
      <c r="K77" s="82">
        <f t="shared" si="21"/>
        <v>297538</v>
      </c>
      <c r="L77" s="82">
        <f t="shared" si="21"/>
        <v>268258</v>
      </c>
      <c r="M77" s="83">
        <f t="shared" si="5"/>
        <v>0.71403322917054834</v>
      </c>
      <c r="N77" s="84">
        <v>913</v>
      </c>
      <c r="O77" s="86"/>
      <c r="P77" s="90"/>
    </row>
    <row r="78" spans="1:16" x14ac:dyDescent="0.2">
      <c r="A78" s="81">
        <v>72</v>
      </c>
      <c r="B78" s="81" t="str">
        <f t="shared" si="15"/>
        <v>HHW24-ByARMS</v>
      </c>
      <c r="C78" s="81" t="s">
        <v>50</v>
      </c>
      <c r="D78" s="81" t="s">
        <v>332</v>
      </c>
      <c r="E78" s="81" t="s">
        <v>342</v>
      </c>
      <c r="F78" s="82">
        <f t="shared" ref="F78:L78" si="22">F21+F39+F57</f>
        <v>318530</v>
      </c>
      <c r="G78" s="82">
        <f t="shared" si="22"/>
        <v>277705</v>
      </c>
      <c r="H78" s="82">
        <f t="shared" si="22"/>
        <v>273081</v>
      </c>
      <c r="I78" s="82">
        <f t="shared" si="22"/>
        <v>266183</v>
      </c>
      <c r="J78" s="82">
        <f t="shared" si="22"/>
        <v>256015</v>
      </c>
      <c r="K78" s="82">
        <f t="shared" si="22"/>
        <v>253236</v>
      </c>
      <c r="L78" s="82">
        <f t="shared" si="22"/>
        <v>236298</v>
      </c>
      <c r="M78" s="83">
        <f t="shared" si="5"/>
        <v>0.7418390732427087</v>
      </c>
      <c r="N78" s="84">
        <v>873</v>
      </c>
      <c r="O78" s="86"/>
      <c r="P78" s="90"/>
    </row>
  </sheetData>
  <mergeCells count="2">
    <mergeCell ref="A1:P1"/>
    <mergeCell ref="A2:P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123B9-DF38-354E-89D7-C465DBC59C4B}">
  <dimension ref="A1:U45"/>
  <sheetViews>
    <sheetView workbookViewId="0">
      <pane ySplit="3" topLeftCell="A4" activePane="bottomLeft" state="frozen"/>
      <selection pane="bottomLeft" activeCell="J21" sqref="J21"/>
    </sheetView>
  </sheetViews>
  <sheetFormatPr baseColWidth="10" defaultRowHeight="20" x14ac:dyDescent="0.25"/>
  <cols>
    <col min="1" max="1" width="10.83203125" style="15"/>
    <col min="2" max="2" width="19.6640625" style="15" bestFit="1" customWidth="1"/>
    <col min="3" max="16384" width="10.83203125" style="15"/>
  </cols>
  <sheetData>
    <row r="1" spans="1:21" ht="20" customHeight="1" x14ac:dyDescent="0.25">
      <c r="A1" s="113" t="s">
        <v>350</v>
      </c>
      <c r="B1" s="113"/>
      <c r="C1" s="113"/>
      <c r="D1" s="113"/>
      <c r="E1" s="113"/>
      <c r="F1" s="113"/>
      <c r="G1" s="113"/>
      <c r="H1" s="113"/>
      <c r="I1" s="113"/>
      <c r="J1" s="113"/>
      <c r="K1" s="113"/>
      <c r="L1" s="113"/>
      <c r="M1" s="113"/>
      <c r="N1" s="113"/>
      <c r="O1" s="113"/>
      <c r="P1" s="113"/>
      <c r="Q1" s="113"/>
      <c r="R1" s="113"/>
      <c r="S1" s="113"/>
      <c r="T1" s="113"/>
      <c r="U1" s="113"/>
    </row>
    <row r="2" spans="1:21" ht="56" customHeight="1" x14ac:dyDescent="0.25">
      <c r="A2" s="105" t="s">
        <v>382</v>
      </c>
      <c r="B2" s="105"/>
      <c r="C2" s="105"/>
      <c r="D2" s="105"/>
      <c r="E2" s="105"/>
      <c r="F2" s="105"/>
      <c r="G2" s="105"/>
      <c r="H2" s="105"/>
      <c r="I2" s="105"/>
      <c r="J2" s="105"/>
      <c r="K2" s="105"/>
      <c r="L2" s="105"/>
      <c r="M2" s="105"/>
      <c r="N2" s="105"/>
      <c r="O2" s="105"/>
      <c r="P2" s="105"/>
      <c r="Q2" s="105"/>
      <c r="R2" s="105"/>
      <c r="S2" s="105"/>
      <c r="T2" s="105"/>
      <c r="U2" s="105"/>
    </row>
    <row r="3" spans="1:21" x14ac:dyDescent="0.25">
      <c r="A3" s="107"/>
      <c r="B3" s="112" t="s">
        <v>218</v>
      </c>
      <c r="C3" s="112" t="s">
        <v>33</v>
      </c>
      <c r="D3" s="112" t="s">
        <v>34</v>
      </c>
      <c r="E3" s="112" t="s">
        <v>35</v>
      </c>
      <c r="F3" s="112" t="s">
        <v>36</v>
      </c>
      <c r="G3" s="112" t="s">
        <v>37</v>
      </c>
      <c r="H3" s="112" t="s">
        <v>38</v>
      </c>
      <c r="I3" s="112" t="s">
        <v>39</v>
      </c>
      <c r="J3" s="112" t="s">
        <v>40</v>
      </c>
      <c r="K3" s="112" t="s">
        <v>41</v>
      </c>
      <c r="L3" s="112" t="s">
        <v>42</v>
      </c>
      <c r="M3" s="112" t="s">
        <v>43</v>
      </c>
      <c r="N3" s="112" t="s">
        <v>44</v>
      </c>
      <c r="O3" s="112" t="s">
        <v>45</v>
      </c>
      <c r="P3" s="112" t="s">
        <v>46</v>
      </c>
      <c r="Q3" s="112" t="s">
        <v>47</v>
      </c>
      <c r="R3" s="112" t="s">
        <v>48</v>
      </c>
      <c r="S3" s="112" t="s">
        <v>49</v>
      </c>
      <c r="T3" s="112" t="s">
        <v>50</v>
      </c>
      <c r="U3" s="112" t="s">
        <v>173</v>
      </c>
    </row>
    <row r="4" spans="1:21" x14ac:dyDescent="0.25">
      <c r="A4" s="107">
        <v>1</v>
      </c>
      <c r="B4" s="107" t="s">
        <v>29</v>
      </c>
      <c r="C4" s="107">
        <v>90</v>
      </c>
      <c r="D4" s="107">
        <v>84</v>
      </c>
      <c r="E4" s="107">
        <v>81</v>
      </c>
      <c r="F4" s="107">
        <v>86</v>
      </c>
      <c r="G4" s="107">
        <v>79</v>
      </c>
      <c r="H4" s="107">
        <v>85</v>
      </c>
      <c r="I4" s="107">
        <v>82</v>
      </c>
      <c r="J4" s="107">
        <v>71</v>
      </c>
      <c r="K4" s="107">
        <v>75</v>
      </c>
      <c r="L4" s="107">
        <v>86</v>
      </c>
      <c r="M4" s="107">
        <v>81</v>
      </c>
      <c r="N4" s="107">
        <v>78</v>
      </c>
      <c r="O4" s="107">
        <v>76</v>
      </c>
      <c r="P4" s="107">
        <v>88</v>
      </c>
      <c r="Q4" s="107">
        <v>79</v>
      </c>
      <c r="R4" s="107">
        <v>66</v>
      </c>
      <c r="S4" s="107">
        <v>87</v>
      </c>
      <c r="T4" s="107">
        <v>81</v>
      </c>
      <c r="U4" s="107">
        <v>1455</v>
      </c>
    </row>
    <row r="5" spans="1:21" x14ac:dyDescent="0.25">
      <c r="A5" s="107">
        <v>2</v>
      </c>
      <c r="B5" s="107" t="s">
        <v>20</v>
      </c>
      <c r="C5" s="107">
        <v>72</v>
      </c>
      <c r="D5" s="107">
        <v>72</v>
      </c>
      <c r="E5" s="107">
        <v>82</v>
      </c>
      <c r="F5" s="107">
        <v>77</v>
      </c>
      <c r="G5" s="107">
        <v>66</v>
      </c>
      <c r="H5" s="107">
        <v>83</v>
      </c>
      <c r="I5" s="107">
        <v>69</v>
      </c>
      <c r="J5" s="107">
        <v>70</v>
      </c>
      <c r="K5" s="107">
        <v>77</v>
      </c>
      <c r="L5" s="107">
        <v>79</v>
      </c>
      <c r="M5" s="107">
        <v>83</v>
      </c>
      <c r="N5" s="107">
        <v>77</v>
      </c>
      <c r="O5" s="107">
        <v>76</v>
      </c>
      <c r="P5" s="107">
        <v>76</v>
      </c>
      <c r="Q5" s="107">
        <v>94</v>
      </c>
      <c r="R5" s="107">
        <v>69</v>
      </c>
      <c r="S5" s="107">
        <v>89</v>
      </c>
      <c r="T5" s="107">
        <v>86</v>
      </c>
      <c r="U5" s="107">
        <v>1397</v>
      </c>
    </row>
    <row r="6" spans="1:21" x14ac:dyDescent="0.25">
      <c r="A6" s="107">
        <v>3</v>
      </c>
      <c r="B6" s="107" t="s">
        <v>174</v>
      </c>
      <c r="C6" s="107">
        <v>33</v>
      </c>
      <c r="D6" s="107">
        <v>49</v>
      </c>
      <c r="E6" s="107">
        <v>40</v>
      </c>
      <c r="F6" s="107">
        <v>40</v>
      </c>
      <c r="G6" s="107">
        <v>56</v>
      </c>
      <c r="H6" s="107">
        <v>69</v>
      </c>
      <c r="I6" s="107">
        <v>66</v>
      </c>
      <c r="J6" s="107">
        <v>40</v>
      </c>
      <c r="K6" s="107">
        <v>56</v>
      </c>
      <c r="L6" s="107">
        <v>66</v>
      </c>
      <c r="M6" s="107">
        <v>45</v>
      </c>
      <c r="N6" s="107">
        <v>44</v>
      </c>
      <c r="O6" s="107">
        <v>69</v>
      </c>
      <c r="P6" s="107">
        <v>73</v>
      </c>
      <c r="Q6" s="107">
        <v>59</v>
      </c>
      <c r="R6" s="107">
        <v>25</v>
      </c>
      <c r="S6" s="107">
        <v>58</v>
      </c>
      <c r="T6" s="107">
        <v>48</v>
      </c>
      <c r="U6" s="107">
        <v>936</v>
      </c>
    </row>
    <row r="7" spans="1:21" x14ac:dyDescent="0.25">
      <c r="A7" s="107">
        <v>4</v>
      </c>
      <c r="B7" s="107" t="s">
        <v>30</v>
      </c>
      <c r="C7" s="107">
        <v>48</v>
      </c>
      <c r="D7" s="107">
        <v>38</v>
      </c>
      <c r="E7" s="107">
        <v>47</v>
      </c>
      <c r="F7" s="107">
        <v>40</v>
      </c>
      <c r="G7" s="107">
        <v>40</v>
      </c>
      <c r="H7" s="107">
        <v>44</v>
      </c>
      <c r="I7" s="107">
        <v>42</v>
      </c>
      <c r="J7" s="107">
        <v>37</v>
      </c>
      <c r="K7" s="107">
        <v>36</v>
      </c>
      <c r="L7" s="107">
        <v>44</v>
      </c>
      <c r="M7" s="107">
        <v>49</v>
      </c>
      <c r="N7" s="107">
        <v>40</v>
      </c>
      <c r="O7" s="107">
        <v>54</v>
      </c>
      <c r="P7" s="107">
        <v>52</v>
      </c>
      <c r="Q7" s="107">
        <v>43</v>
      </c>
      <c r="R7" s="107">
        <v>37</v>
      </c>
      <c r="S7" s="107">
        <v>46</v>
      </c>
      <c r="T7" s="107">
        <v>54</v>
      </c>
      <c r="U7" s="107">
        <v>791</v>
      </c>
    </row>
    <row r="8" spans="1:21" x14ac:dyDescent="0.25">
      <c r="A8" s="107">
        <v>5</v>
      </c>
      <c r="B8" s="107" t="s">
        <v>175</v>
      </c>
      <c r="C8" s="107">
        <v>46</v>
      </c>
      <c r="D8" s="107">
        <v>46</v>
      </c>
      <c r="E8" s="107">
        <v>39</v>
      </c>
      <c r="F8" s="107">
        <v>49</v>
      </c>
      <c r="G8" s="107">
        <v>42</v>
      </c>
      <c r="H8" s="107">
        <v>45</v>
      </c>
      <c r="I8" s="107">
        <v>38</v>
      </c>
      <c r="J8" s="107">
        <v>48</v>
      </c>
      <c r="K8" s="107">
        <v>29</v>
      </c>
      <c r="L8" s="107">
        <v>44</v>
      </c>
      <c r="M8" s="107">
        <v>42</v>
      </c>
      <c r="N8" s="107">
        <v>41</v>
      </c>
      <c r="O8" s="107">
        <v>42</v>
      </c>
      <c r="P8" s="107">
        <v>38</v>
      </c>
      <c r="Q8" s="107">
        <v>57</v>
      </c>
      <c r="R8" s="107">
        <v>36</v>
      </c>
      <c r="S8" s="107">
        <v>43</v>
      </c>
      <c r="T8" s="107">
        <v>49</v>
      </c>
      <c r="U8" s="107">
        <v>774</v>
      </c>
    </row>
    <row r="9" spans="1:21" x14ac:dyDescent="0.25">
      <c r="A9" s="107">
        <v>6</v>
      </c>
      <c r="B9" s="107" t="s">
        <v>176</v>
      </c>
      <c r="C9" s="107">
        <v>47</v>
      </c>
      <c r="D9" s="107">
        <v>35</v>
      </c>
      <c r="E9" s="107">
        <v>37</v>
      </c>
      <c r="F9" s="107">
        <v>41</v>
      </c>
      <c r="G9" s="107">
        <v>50</v>
      </c>
      <c r="H9" s="107">
        <v>39</v>
      </c>
      <c r="I9" s="107">
        <v>30</v>
      </c>
      <c r="J9" s="107">
        <v>50</v>
      </c>
      <c r="K9" s="107">
        <v>41</v>
      </c>
      <c r="L9" s="107">
        <v>39</v>
      </c>
      <c r="M9" s="107">
        <v>35</v>
      </c>
      <c r="N9" s="107">
        <v>41</v>
      </c>
      <c r="O9" s="107">
        <v>47</v>
      </c>
      <c r="P9" s="107">
        <v>53</v>
      </c>
      <c r="Q9" s="107">
        <v>44</v>
      </c>
      <c r="R9" s="107">
        <v>28</v>
      </c>
      <c r="S9" s="107">
        <v>42</v>
      </c>
      <c r="T9" s="107">
        <v>51</v>
      </c>
      <c r="U9" s="107">
        <v>750</v>
      </c>
    </row>
    <row r="10" spans="1:21" x14ac:dyDescent="0.25">
      <c r="A10" s="107">
        <v>7</v>
      </c>
      <c r="B10" s="107" t="s">
        <v>21</v>
      </c>
      <c r="C10" s="107">
        <v>26</v>
      </c>
      <c r="D10" s="107">
        <v>26</v>
      </c>
      <c r="E10" s="107">
        <v>32</v>
      </c>
      <c r="F10" s="107">
        <v>23</v>
      </c>
      <c r="G10" s="107">
        <v>27</v>
      </c>
      <c r="H10" s="107">
        <v>25</v>
      </c>
      <c r="I10" s="107">
        <v>21</v>
      </c>
      <c r="J10" s="107">
        <v>28</v>
      </c>
      <c r="K10" s="107">
        <v>21</v>
      </c>
      <c r="L10" s="107">
        <v>30</v>
      </c>
      <c r="M10" s="107">
        <v>20</v>
      </c>
      <c r="N10" s="107">
        <v>26</v>
      </c>
      <c r="O10" s="107">
        <v>35</v>
      </c>
      <c r="P10" s="107">
        <v>30</v>
      </c>
      <c r="Q10" s="107">
        <v>32</v>
      </c>
      <c r="R10" s="107">
        <v>20</v>
      </c>
      <c r="S10" s="107">
        <v>32</v>
      </c>
      <c r="T10" s="107">
        <v>33</v>
      </c>
      <c r="U10" s="107">
        <v>487</v>
      </c>
    </row>
    <row r="11" spans="1:21" x14ac:dyDescent="0.25">
      <c r="A11" s="107">
        <v>8</v>
      </c>
      <c r="B11" s="107" t="s">
        <v>23</v>
      </c>
      <c r="C11" s="107">
        <v>17</v>
      </c>
      <c r="D11" s="107">
        <v>18</v>
      </c>
      <c r="E11" s="107">
        <v>15</v>
      </c>
      <c r="F11" s="107">
        <v>16</v>
      </c>
      <c r="G11" s="107">
        <v>16</v>
      </c>
      <c r="H11" s="107">
        <v>13</v>
      </c>
      <c r="I11" s="107">
        <v>15</v>
      </c>
      <c r="J11" s="107">
        <v>17</v>
      </c>
      <c r="K11" s="107">
        <v>13</v>
      </c>
      <c r="L11" s="107">
        <v>18</v>
      </c>
      <c r="M11" s="107">
        <v>17</v>
      </c>
      <c r="N11" s="107">
        <v>20</v>
      </c>
      <c r="O11" s="107">
        <v>15</v>
      </c>
      <c r="P11" s="107">
        <v>17</v>
      </c>
      <c r="Q11" s="107">
        <v>20</v>
      </c>
      <c r="R11" s="107">
        <v>14</v>
      </c>
      <c r="S11" s="107">
        <v>23</v>
      </c>
      <c r="T11" s="107">
        <v>15</v>
      </c>
      <c r="U11" s="107">
        <v>299</v>
      </c>
    </row>
    <row r="12" spans="1:21" x14ac:dyDescent="0.25">
      <c r="A12" s="107">
        <v>9</v>
      </c>
      <c r="B12" s="107" t="s">
        <v>22</v>
      </c>
      <c r="C12" s="107">
        <v>8</v>
      </c>
      <c r="D12" s="107">
        <v>8</v>
      </c>
      <c r="E12" s="107">
        <v>8</v>
      </c>
      <c r="F12" s="107">
        <v>8</v>
      </c>
      <c r="G12" s="107">
        <v>11</v>
      </c>
      <c r="H12" s="107">
        <v>13</v>
      </c>
      <c r="I12" s="107">
        <v>9</v>
      </c>
      <c r="J12" s="107">
        <v>9</v>
      </c>
      <c r="K12" s="107">
        <v>10</v>
      </c>
      <c r="L12" s="107">
        <v>12</v>
      </c>
      <c r="M12" s="107">
        <v>11</v>
      </c>
      <c r="N12" s="107">
        <v>9</v>
      </c>
      <c r="O12" s="107">
        <v>8</v>
      </c>
      <c r="P12" s="107">
        <v>11</v>
      </c>
      <c r="Q12" s="107">
        <v>14</v>
      </c>
      <c r="R12" s="107">
        <v>9</v>
      </c>
      <c r="S12" s="107">
        <v>10</v>
      </c>
      <c r="T12" s="107">
        <v>7</v>
      </c>
      <c r="U12" s="107">
        <v>175</v>
      </c>
    </row>
    <row r="13" spans="1:21" x14ac:dyDescent="0.25">
      <c r="A13" s="107">
        <v>10</v>
      </c>
      <c r="B13" s="107" t="s">
        <v>177</v>
      </c>
      <c r="C13" s="107">
        <v>7</v>
      </c>
      <c r="D13" s="107">
        <v>11</v>
      </c>
      <c r="E13" s="107">
        <v>8</v>
      </c>
      <c r="F13" s="107">
        <v>8</v>
      </c>
      <c r="G13" s="107">
        <v>10</v>
      </c>
      <c r="H13" s="107">
        <v>6</v>
      </c>
      <c r="I13" s="107">
        <v>6</v>
      </c>
      <c r="J13" s="107">
        <v>7</v>
      </c>
      <c r="K13" s="107">
        <v>7</v>
      </c>
      <c r="L13" s="107">
        <v>6</v>
      </c>
      <c r="M13" s="107">
        <v>3</v>
      </c>
      <c r="N13" s="107">
        <v>10</v>
      </c>
      <c r="O13" s="107">
        <v>15</v>
      </c>
      <c r="P13" s="107">
        <v>16</v>
      </c>
      <c r="Q13" s="107">
        <v>10</v>
      </c>
      <c r="R13" s="107">
        <v>6</v>
      </c>
      <c r="S13" s="107">
        <v>13</v>
      </c>
      <c r="T13" s="107">
        <v>15</v>
      </c>
      <c r="U13" s="107">
        <v>164</v>
      </c>
    </row>
    <row r="14" spans="1:21" x14ac:dyDescent="0.25">
      <c r="A14" s="107">
        <v>11</v>
      </c>
      <c r="B14" s="107" t="s">
        <v>81</v>
      </c>
      <c r="C14" s="107">
        <v>7</v>
      </c>
      <c r="D14" s="107">
        <v>10</v>
      </c>
      <c r="E14" s="107">
        <v>9</v>
      </c>
      <c r="F14" s="107">
        <v>8</v>
      </c>
      <c r="G14" s="107">
        <v>4</v>
      </c>
      <c r="H14" s="107">
        <v>8</v>
      </c>
      <c r="I14" s="107">
        <v>9</v>
      </c>
      <c r="J14" s="107">
        <v>8</v>
      </c>
      <c r="K14" s="107">
        <v>7</v>
      </c>
      <c r="L14" s="107">
        <v>7</v>
      </c>
      <c r="M14" s="107">
        <v>12</v>
      </c>
      <c r="N14" s="107">
        <v>12</v>
      </c>
      <c r="O14" s="107">
        <v>12</v>
      </c>
      <c r="P14" s="107">
        <v>12</v>
      </c>
      <c r="Q14" s="107">
        <v>7</v>
      </c>
      <c r="R14" s="107">
        <v>8</v>
      </c>
      <c r="S14" s="107">
        <v>13</v>
      </c>
      <c r="T14" s="107">
        <v>9</v>
      </c>
      <c r="U14" s="107">
        <v>162</v>
      </c>
    </row>
    <row r="15" spans="1:21" x14ac:dyDescent="0.25">
      <c r="A15" s="107">
        <v>12</v>
      </c>
      <c r="B15" s="107" t="s">
        <v>31</v>
      </c>
      <c r="C15" s="107">
        <v>8</v>
      </c>
      <c r="D15" s="107">
        <v>7</v>
      </c>
      <c r="E15" s="107">
        <v>8</v>
      </c>
      <c r="F15" s="107">
        <v>8</v>
      </c>
      <c r="G15" s="107">
        <v>8</v>
      </c>
      <c r="H15" s="107">
        <v>7</v>
      </c>
      <c r="I15" s="107">
        <v>9</v>
      </c>
      <c r="J15" s="107">
        <v>8</v>
      </c>
      <c r="K15" s="107">
        <v>7</v>
      </c>
      <c r="L15" s="107">
        <v>7</v>
      </c>
      <c r="M15" s="107">
        <v>7</v>
      </c>
      <c r="N15" s="107">
        <v>12</v>
      </c>
      <c r="O15" s="107">
        <v>9</v>
      </c>
      <c r="P15" s="107">
        <v>9</v>
      </c>
      <c r="Q15" s="107">
        <v>6</v>
      </c>
      <c r="R15" s="107">
        <v>6</v>
      </c>
      <c r="S15" s="107">
        <v>10</v>
      </c>
      <c r="T15" s="107">
        <v>6</v>
      </c>
      <c r="U15" s="107">
        <v>142</v>
      </c>
    </row>
    <row r="16" spans="1:21" x14ac:dyDescent="0.25">
      <c r="A16" s="107">
        <v>13</v>
      </c>
      <c r="B16" s="107" t="s">
        <v>32</v>
      </c>
      <c r="C16" s="107">
        <v>5</v>
      </c>
      <c r="D16" s="107">
        <v>7</v>
      </c>
      <c r="E16" s="107">
        <v>9</v>
      </c>
      <c r="F16" s="107">
        <v>2</v>
      </c>
      <c r="G16" s="107">
        <v>7</v>
      </c>
      <c r="H16" s="107">
        <v>3</v>
      </c>
      <c r="I16" s="107">
        <v>4</v>
      </c>
      <c r="J16" s="107">
        <v>1</v>
      </c>
      <c r="K16" s="107">
        <v>3</v>
      </c>
      <c r="L16" s="107">
        <v>5</v>
      </c>
      <c r="M16" s="107">
        <v>2</v>
      </c>
      <c r="N16" s="107">
        <v>8</v>
      </c>
      <c r="O16" s="107">
        <v>15</v>
      </c>
      <c r="P16" s="107">
        <v>16</v>
      </c>
      <c r="Q16" s="107">
        <v>9</v>
      </c>
      <c r="R16" s="107">
        <v>3</v>
      </c>
      <c r="S16" s="107">
        <v>9</v>
      </c>
      <c r="T16" s="107">
        <v>5</v>
      </c>
      <c r="U16" s="107">
        <v>113</v>
      </c>
    </row>
    <row r="17" spans="1:21" x14ac:dyDescent="0.25">
      <c r="A17" s="107">
        <v>14</v>
      </c>
      <c r="B17" s="107" t="s">
        <v>178</v>
      </c>
      <c r="C17" s="107">
        <v>7</v>
      </c>
      <c r="D17" s="107">
        <v>5</v>
      </c>
      <c r="E17" s="107">
        <v>6</v>
      </c>
      <c r="F17" s="107">
        <v>5</v>
      </c>
      <c r="G17" s="107">
        <v>7</v>
      </c>
      <c r="H17" s="107">
        <v>6</v>
      </c>
      <c r="I17" s="107">
        <v>4</v>
      </c>
      <c r="J17" s="107">
        <v>5</v>
      </c>
      <c r="K17" s="107">
        <v>4</v>
      </c>
      <c r="L17" s="107">
        <v>8</v>
      </c>
      <c r="M17" s="107">
        <v>6</v>
      </c>
      <c r="N17" s="107">
        <v>3</v>
      </c>
      <c r="O17" s="107">
        <v>6</v>
      </c>
      <c r="P17" s="107">
        <v>3</v>
      </c>
      <c r="Q17" s="107">
        <v>11</v>
      </c>
      <c r="R17" s="107">
        <v>3</v>
      </c>
      <c r="S17" s="107">
        <v>4</v>
      </c>
      <c r="T17" s="107">
        <v>5</v>
      </c>
      <c r="U17" s="107">
        <v>98</v>
      </c>
    </row>
    <row r="18" spans="1:21" x14ac:dyDescent="0.25">
      <c r="A18" s="107">
        <v>15</v>
      </c>
      <c r="B18" s="107" t="s">
        <v>179</v>
      </c>
      <c r="C18" s="107">
        <v>5</v>
      </c>
      <c r="D18" s="107">
        <v>2</v>
      </c>
      <c r="E18" s="107">
        <v>3</v>
      </c>
      <c r="F18" s="107">
        <v>1</v>
      </c>
      <c r="G18" s="107">
        <v>3</v>
      </c>
      <c r="H18" s="107">
        <v>1</v>
      </c>
      <c r="I18" s="107">
        <v>3</v>
      </c>
      <c r="J18" s="107">
        <v>5</v>
      </c>
      <c r="K18" s="107">
        <v>4</v>
      </c>
      <c r="L18" s="107">
        <v>4</v>
      </c>
      <c r="M18" s="107">
        <v>4</v>
      </c>
      <c r="N18" s="107">
        <v>2</v>
      </c>
      <c r="O18" s="107">
        <v>4</v>
      </c>
      <c r="P18" s="107">
        <v>7</v>
      </c>
      <c r="Q18" s="107">
        <v>5</v>
      </c>
      <c r="R18" s="107">
        <v>4</v>
      </c>
      <c r="S18" s="107">
        <v>2</v>
      </c>
      <c r="T18" s="107">
        <v>2</v>
      </c>
      <c r="U18" s="107">
        <v>61</v>
      </c>
    </row>
    <row r="19" spans="1:21" x14ac:dyDescent="0.25">
      <c r="A19" s="107">
        <v>16</v>
      </c>
      <c r="B19" s="107" t="s">
        <v>180</v>
      </c>
      <c r="C19" s="107">
        <v>3</v>
      </c>
      <c r="D19" s="107">
        <v>1</v>
      </c>
      <c r="E19" s="107">
        <v>2</v>
      </c>
      <c r="F19" s="107">
        <v>2</v>
      </c>
      <c r="G19" s="107">
        <v>2</v>
      </c>
      <c r="H19" s="107">
        <v>2</v>
      </c>
      <c r="I19" s="107">
        <v>3</v>
      </c>
      <c r="J19" s="107">
        <v>3</v>
      </c>
      <c r="K19" s="107">
        <v>2</v>
      </c>
      <c r="L19" s="107">
        <v>1</v>
      </c>
      <c r="M19" s="107">
        <v>3</v>
      </c>
      <c r="N19" s="107">
        <v>2</v>
      </c>
      <c r="O19" s="107">
        <v>2</v>
      </c>
      <c r="P19" s="107">
        <v>4</v>
      </c>
      <c r="Q19" s="107">
        <v>1</v>
      </c>
      <c r="R19" s="107">
        <v>2</v>
      </c>
      <c r="S19" s="107">
        <v>0</v>
      </c>
      <c r="T19" s="107">
        <v>4</v>
      </c>
      <c r="U19" s="107">
        <v>39</v>
      </c>
    </row>
    <row r="20" spans="1:21" x14ac:dyDescent="0.25">
      <c r="A20" s="107">
        <v>17</v>
      </c>
      <c r="B20" s="107" t="s">
        <v>84</v>
      </c>
      <c r="C20" s="107">
        <v>2</v>
      </c>
      <c r="D20" s="107">
        <v>2</v>
      </c>
      <c r="E20" s="107">
        <v>2</v>
      </c>
      <c r="F20" s="107">
        <v>2</v>
      </c>
      <c r="G20" s="107">
        <v>2</v>
      </c>
      <c r="H20" s="107">
        <v>2</v>
      </c>
      <c r="I20" s="107">
        <v>2</v>
      </c>
      <c r="J20" s="107">
        <v>2</v>
      </c>
      <c r="K20" s="107">
        <v>2</v>
      </c>
      <c r="L20" s="107">
        <v>2</v>
      </c>
      <c r="M20" s="107">
        <v>3</v>
      </c>
      <c r="N20" s="107">
        <v>2</v>
      </c>
      <c r="O20" s="107">
        <v>2</v>
      </c>
      <c r="P20" s="107">
        <v>2</v>
      </c>
      <c r="Q20" s="107">
        <v>2</v>
      </c>
      <c r="R20" s="107">
        <v>2</v>
      </c>
      <c r="S20" s="107">
        <v>2</v>
      </c>
      <c r="T20" s="107">
        <v>2</v>
      </c>
      <c r="U20" s="107">
        <v>37</v>
      </c>
    </row>
    <row r="21" spans="1:21" x14ac:dyDescent="0.25">
      <c r="A21" s="107">
        <v>18</v>
      </c>
      <c r="B21" s="107" t="s">
        <v>181</v>
      </c>
      <c r="C21" s="107">
        <v>1</v>
      </c>
      <c r="D21" s="107">
        <v>1</v>
      </c>
      <c r="E21" s="107">
        <v>0</v>
      </c>
      <c r="F21" s="107">
        <v>1</v>
      </c>
      <c r="G21" s="107">
        <v>1</v>
      </c>
      <c r="H21" s="107">
        <v>0</v>
      </c>
      <c r="I21" s="107">
        <v>3</v>
      </c>
      <c r="J21" s="107">
        <v>0</v>
      </c>
      <c r="K21" s="107">
        <v>0</v>
      </c>
      <c r="L21" s="107">
        <v>3</v>
      </c>
      <c r="M21" s="107">
        <v>0</v>
      </c>
      <c r="N21" s="107">
        <v>4</v>
      </c>
      <c r="O21" s="107">
        <v>4</v>
      </c>
      <c r="P21" s="107">
        <v>8</v>
      </c>
      <c r="Q21" s="107">
        <v>3</v>
      </c>
      <c r="R21" s="107">
        <v>1</v>
      </c>
      <c r="S21" s="107">
        <v>4</v>
      </c>
      <c r="T21" s="107">
        <v>3</v>
      </c>
      <c r="U21" s="107">
        <v>37</v>
      </c>
    </row>
    <row r="22" spans="1:21" x14ac:dyDescent="0.25">
      <c r="A22" s="107">
        <v>19</v>
      </c>
      <c r="B22" s="107" t="s">
        <v>182</v>
      </c>
      <c r="C22" s="107">
        <v>1</v>
      </c>
      <c r="D22" s="107">
        <v>2</v>
      </c>
      <c r="E22" s="107">
        <v>1</v>
      </c>
      <c r="F22" s="107">
        <v>1</v>
      </c>
      <c r="G22" s="107">
        <v>3</v>
      </c>
      <c r="H22" s="107">
        <v>1</v>
      </c>
      <c r="I22" s="107">
        <v>2</v>
      </c>
      <c r="J22" s="107">
        <v>2</v>
      </c>
      <c r="K22" s="107">
        <v>1</v>
      </c>
      <c r="L22" s="107">
        <v>2</v>
      </c>
      <c r="M22" s="107">
        <v>2</v>
      </c>
      <c r="N22" s="107">
        <v>5</v>
      </c>
      <c r="O22" s="107">
        <v>3</v>
      </c>
      <c r="P22" s="107">
        <v>1</v>
      </c>
      <c r="Q22" s="107">
        <v>2</v>
      </c>
      <c r="R22" s="107">
        <v>2</v>
      </c>
      <c r="S22" s="107">
        <v>2</v>
      </c>
      <c r="T22" s="107">
        <v>3</v>
      </c>
      <c r="U22" s="107">
        <v>36</v>
      </c>
    </row>
    <row r="23" spans="1:21" x14ac:dyDescent="0.25">
      <c r="A23" s="107">
        <v>20</v>
      </c>
      <c r="B23" s="107" t="s">
        <v>183</v>
      </c>
      <c r="C23" s="107">
        <v>2</v>
      </c>
      <c r="D23" s="107">
        <v>1</v>
      </c>
      <c r="E23" s="107">
        <v>0</v>
      </c>
      <c r="F23" s="107">
        <v>2</v>
      </c>
      <c r="G23" s="107">
        <v>1</v>
      </c>
      <c r="H23" s="107">
        <v>1</v>
      </c>
      <c r="I23" s="107">
        <v>1</v>
      </c>
      <c r="J23" s="107">
        <v>0</v>
      </c>
      <c r="K23" s="107">
        <v>1</v>
      </c>
      <c r="L23" s="107">
        <v>1</v>
      </c>
      <c r="M23" s="107">
        <v>1</v>
      </c>
      <c r="N23" s="107">
        <v>1</v>
      </c>
      <c r="O23" s="107">
        <v>2</v>
      </c>
      <c r="P23" s="107">
        <v>2</v>
      </c>
      <c r="Q23" s="107">
        <v>3</v>
      </c>
      <c r="R23" s="107">
        <v>1</v>
      </c>
      <c r="S23" s="107">
        <v>3</v>
      </c>
      <c r="T23" s="107">
        <v>2</v>
      </c>
      <c r="U23" s="107">
        <v>25</v>
      </c>
    </row>
    <row r="24" spans="1:21" x14ac:dyDescent="0.25">
      <c r="A24" s="107">
        <v>21</v>
      </c>
      <c r="B24" s="107" t="s">
        <v>184</v>
      </c>
      <c r="C24" s="107">
        <v>0</v>
      </c>
      <c r="D24" s="107">
        <v>0</v>
      </c>
      <c r="E24" s="107">
        <v>0</v>
      </c>
      <c r="F24" s="107">
        <v>1</v>
      </c>
      <c r="G24" s="107">
        <v>1</v>
      </c>
      <c r="H24" s="107">
        <v>1</v>
      </c>
      <c r="I24" s="107">
        <v>0</v>
      </c>
      <c r="J24" s="107">
        <v>3</v>
      </c>
      <c r="K24" s="107">
        <v>0</v>
      </c>
      <c r="L24" s="107">
        <v>1</v>
      </c>
      <c r="M24" s="107">
        <v>0</v>
      </c>
      <c r="N24" s="107">
        <v>1</v>
      </c>
      <c r="O24" s="107">
        <v>2</v>
      </c>
      <c r="P24" s="107">
        <v>3</v>
      </c>
      <c r="Q24" s="107">
        <v>2</v>
      </c>
      <c r="R24" s="107">
        <v>1</v>
      </c>
      <c r="S24" s="107">
        <v>2</v>
      </c>
      <c r="T24" s="107">
        <v>2</v>
      </c>
      <c r="U24" s="107">
        <v>20</v>
      </c>
    </row>
    <row r="25" spans="1:21" x14ac:dyDescent="0.25">
      <c r="A25" s="107">
        <v>22</v>
      </c>
      <c r="B25" s="107" t="s">
        <v>185</v>
      </c>
      <c r="C25" s="107">
        <v>0</v>
      </c>
      <c r="D25" s="107">
        <v>1</v>
      </c>
      <c r="E25" s="107">
        <v>1</v>
      </c>
      <c r="F25" s="107">
        <v>0</v>
      </c>
      <c r="G25" s="107">
        <v>0</v>
      </c>
      <c r="H25" s="107">
        <v>1</v>
      </c>
      <c r="I25" s="107">
        <v>0</v>
      </c>
      <c r="J25" s="107">
        <v>1</v>
      </c>
      <c r="K25" s="107">
        <v>0</v>
      </c>
      <c r="L25" s="107">
        <v>0</v>
      </c>
      <c r="M25" s="107">
        <v>2</v>
      </c>
      <c r="N25" s="107">
        <v>1</v>
      </c>
      <c r="O25" s="107">
        <v>1</v>
      </c>
      <c r="P25" s="107">
        <v>2</v>
      </c>
      <c r="Q25" s="107">
        <v>1</v>
      </c>
      <c r="R25" s="107">
        <v>0</v>
      </c>
      <c r="S25" s="107">
        <v>1</v>
      </c>
      <c r="T25" s="107">
        <v>1</v>
      </c>
      <c r="U25" s="107">
        <v>13</v>
      </c>
    </row>
    <row r="26" spans="1:21" x14ac:dyDescent="0.25">
      <c r="A26" s="107">
        <v>23</v>
      </c>
      <c r="B26" s="107" t="s">
        <v>186</v>
      </c>
      <c r="C26" s="107">
        <v>1</v>
      </c>
      <c r="D26" s="107">
        <v>1</v>
      </c>
      <c r="E26" s="107">
        <v>1</v>
      </c>
      <c r="F26" s="107">
        <v>1</v>
      </c>
      <c r="G26" s="107">
        <v>1</v>
      </c>
      <c r="H26" s="107">
        <v>0</v>
      </c>
      <c r="I26" s="107">
        <v>1</v>
      </c>
      <c r="J26" s="107">
        <v>0</v>
      </c>
      <c r="K26" s="107">
        <v>0</v>
      </c>
      <c r="L26" s="107">
        <v>1</v>
      </c>
      <c r="M26" s="107">
        <v>1</v>
      </c>
      <c r="N26" s="107">
        <v>0</v>
      </c>
      <c r="O26" s="107">
        <v>0</v>
      </c>
      <c r="P26" s="107">
        <v>0</v>
      </c>
      <c r="Q26" s="107">
        <v>1</v>
      </c>
      <c r="R26" s="107">
        <v>1</v>
      </c>
      <c r="S26" s="107">
        <v>1</v>
      </c>
      <c r="T26" s="107">
        <v>0</v>
      </c>
      <c r="U26" s="107">
        <v>11</v>
      </c>
    </row>
    <row r="27" spans="1:21" x14ac:dyDescent="0.25">
      <c r="A27" s="107">
        <v>24</v>
      </c>
      <c r="B27" s="107" t="s">
        <v>187</v>
      </c>
      <c r="C27" s="107">
        <v>1</v>
      </c>
      <c r="D27" s="107">
        <v>0</v>
      </c>
      <c r="E27" s="107">
        <v>1</v>
      </c>
      <c r="F27" s="107">
        <v>0</v>
      </c>
      <c r="G27" s="107">
        <v>0</v>
      </c>
      <c r="H27" s="107">
        <v>1</v>
      </c>
      <c r="I27" s="107">
        <v>0</v>
      </c>
      <c r="J27" s="107">
        <v>1</v>
      </c>
      <c r="K27" s="107">
        <v>1</v>
      </c>
      <c r="L27" s="107">
        <v>0</v>
      </c>
      <c r="M27" s="107">
        <v>0</v>
      </c>
      <c r="N27" s="107">
        <v>3</v>
      </c>
      <c r="O27" s="107">
        <v>0</v>
      </c>
      <c r="P27" s="107">
        <v>2</v>
      </c>
      <c r="Q27" s="107">
        <v>0</v>
      </c>
      <c r="R27" s="107">
        <v>0</v>
      </c>
      <c r="S27" s="107">
        <v>1</v>
      </c>
      <c r="T27" s="107">
        <v>0</v>
      </c>
      <c r="U27" s="107">
        <v>11</v>
      </c>
    </row>
    <row r="28" spans="1:21" x14ac:dyDescent="0.25">
      <c r="A28" s="107">
        <v>25</v>
      </c>
      <c r="B28" s="107" t="s">
        <v>188</v>
      </c>
      <c r="C28" s="107">
        <v>0</v>
      </c>
      <c r="D28" s="107">
        <v>0</v>
      </c>
      <c r="E28" s="107">
        <v>0</v>
      </c>
      <c r="F28" s="107">
        <v>0</v>
      </c>
      <c r="G28" s="107">
        <v>0</v>
      </c>
      <c r="H28" s="107">
        <v>0</v>
      </c>
      <c r="I28" s="107">
        <v>0</v>
      </c>
      <c r="J28" s="107">
        <v>0</v>
      </c>
      <c r="K28" s="107">
        <v>1</v>
      </c>
      <c r="L28" s="107">
        <v>2</v>
      </c>
      <c r="M28" s="107">
        <v>1</v>
      </c>
      <c r="N28" s="107">
        <v>0</v>
      </c>
      <c r="O28" s="107">
        <v>2</v>
      </c>
      <c r="P28" s="107">
        <v>1</v>
      </c>
      <c r="Q28" s="107">
        <v>0</v>
      </c>
      <c r="R28" s="107">
        <v>0</v>
      </c>
      <c r="S28" s="107">
        <v>2</v>
      </c>
      <c r="T28" s="107">
        <v>1</v>
      </c>
      <c r="U28" s="107">
        <v>10</v>
      </c>
    </row>
    <row r="29" spans="1:21" x14ac:dyDescent="0.25">
      <c r="A29" s="107">
        <v>26</v>
      </c>
      <c r="B29" s="107" t="s">
        <v>189</v>
      </c>
      <c r="C29" s="107">
        <v>0</v>
      </c>
      <c r="D29" s="107">
        <v>0</v>
      </c>
      <c r="E29" s="107">
        <v>0</v>
      </c>
      <c r="F29" s="107">
        <v>0</v>
      </c>
      <c r="G29" s="107">
        <v>0</v>
      </c>
      <c r="H29" s="107">
        <v>0</v>
      </c>
      <c r="I29" s="107">
        <v>0</v>
      </c>
      <c r="J29" s="107">
        <v>0</v>
      </c>
      <c r="K29" s="107">
        <v>0</v>
      </c>
      <c r="L29" s="107">
        <v>1</v>
      </c>
      <c r="M29" s="107">
        <v>0</v>
      </c>
      <c r="N29" s="107">
        <v>0</v>
      </c>
      <c r="O29" s="107">
        <v>2</v>
      </c>
      <c r="P29" s="107">
        <v>1</v>
      </c>
      <c r="Q29" s="107">
        <v>2</v>
      </c>
      <c r="R29" s="107">
        <v>0</v>
      </c>
      <c r="S29" s="107">
        <v>2</v>
      </c>
      <c r="T29" s="107">
        <v>2</v>
      </c>
      <c r="U29" s="107">
        <v>10</v>
      </c>
    </row>
    <row r="30" spans="1:21" x14ac:dyDescent="0.25">
      <c r="A30" s="107">
        <v>27</v>
      </c>
      <c r="B30" s="107" t="s">
        <v>190</v>
      </c>
      <c r="C30" s="107">
        <v>0</v>
      </c>
      <c r="D30" s="107">
        <v>0</v>
      </c>
      <c r="E30" s="107">
        <v>0</v>
      </c>
      <c r="F30" s="107">
        <v>0</v>
      </c>
      <c r="G30" s="107">
        <v>2</v>
      </c>
      <c r="H30" s="107">
        <v>1</v>
      </c>
      <c r="I30" s="107">
        <v>0</v>
      </c>
      <c r="J30" s="107">
        <v>1</v>
      </c>
      <c r="K30" s="107">
        <v>0</v>
      </c>
      <c r="L30" s="107">
        <v>0</v>
      </c>
      <c r="M30" s="107">
        <v>0</v>
      </c>
      <c r="N30" s="107">
        <v>0</v>
      </c>
      <c r="O30" s="107">
        <v>1</v>
      </c>
      <c r="P30" s="107">
        <v>2</v>
      </c>
      <c r="Q30" s="107">
        <v>1</v>
      </c>
      <c r="R30" s="107">
        <v>0</v>
      </c>
      <c r="S30" s="107">
        <v>0</v>
      </c>
      <c r="T30" s="107">
        <v>1</v>
      </c>
      <c r="U30" s="107">
        <v>9</v>
      </c>
    </row>
    <row r="31" spans="1:21" x14ac:dyDescent="0.25">
      <c r="A31" s="107">
        <v>28</v>
      </c>
      <c r="B31" s="107" t="s">
        <v>191</v>
      </c>
      <c r="C31" s="107">
        <v>1</v>
      </c>
      <c r="D31" s="107">
        <v>1</v>
      </c>
      <c r="E31" s="107">
        <v>0</v>
      </c>
      <c r="F31" s="107">
        <v>0</v>
      </c>
      <c r="G31" s="107">
        <v>0</v>
      </c>
      <c r="H31" s="107">
        <v>0</v>
      </c>
      <c r="I31" s="107">
        <v>0</v>
      </c>
      <c r="J31" s="107">
        <v>0</v>
      </c>
      <c r="K31" s="107">
        <v>1</v>
      </c>
      <c r="L31" s="107">
        <v>0</v>
      </c>
      <c r="M31" s="107">
        <v>1</v>
      </c>
      <c r="N31" s="107">
        <v>1</v>
      </c>
      <c r="O31" s="107">
        <v>0</v>
      </c>
      <c r="P31" s="107">
        <v>0</v>
      </c>
      <c r="Q31" s="107">
        <v>0</v>
      </c>
      <c r="R31" s="107">
        <v>0</v>
      </c>
      <c r="S31" s="107">
        <v>2</v>
      </c>
      <c r="T31" s="107">
        <v>1</v>
      </c>
      <c r="U31" s="107">
        <v>8</v>
      </c>
    </row>
    <row r="32" spans="1:21" x14ac:dyDescent="0.25">
      <c r="A32" s="107">
        <v>29</v>
      </c>
      <c r="B32" s="107" t="s">
        <v>192</v>
      </c>
      <c r="C32" s="107">
        <v>0</v>
      </c>
      <c r="D32" s="107">
        <v>1</v>
      </c>
      <c r="E32" s="107">
        <v>0</v>
      </c>
      <c r="F32" s="107">
        <v>0</v>
      </c>
      <c r="G32" s="107">
        <v>0</v>
      </c>
      <c r="H32" s="107">
        <v>0</v>
      </c>
      <c r="I32" s="107">
        <v>1</v>
      </c>
      <c r="J32" s="107">
        <v>0</v>
      </c>
      <c r="K32" s="107">
        <v>0</v>
      </c>
      <c r="L32" s="107">
        <v>1</v>
      </c>
      <c r="M32" s="107">
        <v>0</v>
      </c>
      <c r="N32" s="107">
        <v>1</v>
      </c>
      <c r="O32" s="107">
        <v>1</v>
      </c>
      <c r="P32" s="107">
        <v>0</v>
      </c>
      <c r="Q32" s="107">
        <v>0</v>
      </c>
      <c r="R32" s="107">
        <v>0</v>
      </c>
      <c r="S32" s="107">
        <v>1</v>
      </c>
      <c r="T32" s="107">
        <v>2</v>
      </c>
      <c r="U32" s="107">
        <v>8</v>
      </c>
    </row>
    <row r="33" spans="1:21" x14ac:dyDescent="0.25">
      <c r="A33" s="107">
        <v>30</v>
      </c>
      <c r="B33" s="107" t="s">
        <v>193</v>
      </c>
      <c r="C33" s="107">
        <v>0</v>
      </c>
      <c r="D33" s="107">
        <v>0</v>
      </c>
      <c r="E33" s="107">
        <v>0</v>
      </c>
      <c r="F33" s="107">
        <v>0</v>
      </c>
      <c r="G33" s="107">
        <v>2</v>
      </c>
      <c r="H33" s="107">
        <v>0</v>
      </c>
      <c r="I33" s="107">
        <v>3</v>
      </c>
      <c r="J33" s="107">
        <v>0</v>
      </c>
      <c r="K33" s="107">
        <v>0</v>
      </c>
      <c r="L33" s="107">
        <v>1</v>
      </c>
      <c r="M33" s="107">
        <v>0</v>
      </c>
      <c r="N33" s="107">
        <v>0</v>
      </c>
      <c r="O33" s="107">
        <v>0</v>
      </c>
      <c r="P33" s="107">
        <v>1</v>
      </c>
      <c r="Q33" s="107">
        <v>1</v>
      </c>
      <c r="R33" s="107">
        <v>0</v>
      </c>
      <c r="S33" s="107">
        <v>0</v>
      </c>
      <c r="T33" s="107">
        <v>0</v>
      </c>
      <c r="U33" s="107">
        <v>8</v>
      </c>
    </row>
    <row r="34" spans="1:21" x14ac:dyDescent="0.25">
      <c r="A34" s="107">
        <v>31</v>
      </c>
      <c r="B34" s="107" t="s">
        <v>194</v>
      </c>
      <c r="C34" s="107">
        <v>0</v>
      </c>
      <c r="D34" s="107">
        <v>0</v>
      </c>
      <c r="E34" s="107">
        <v>0</v>
      </c>
      <c r="F34" s="107">
        <v>1</v>
      </c>
      <c r="G34" s="107">
        <v>0</v>
      </c>
      <c r="H34" s="107">
        <v>0</v>
      </c>
      <c r="I34" s="107">
        <v>0</v>
      </c>
      <c r="J34" s="107">
        <v>0</v>
      </c>
      <c r="K34" s="107">
        <v>0</v>
      </c>
      <c r="L34" s="107">
        <v>0</v>
      </c>
      <c r="M34" s="107">
        <v>0</v>
      </c>
      <c r="N34" s="107">
        <v>0</v>
      </c>
      <c r="O34" s="107">
        <v>0</v>
      </c>
      <c r="P34" s="107">
        <v>1</v>
      </c>
      <c r="Q34" s="107">
        <v>1</v>
      </c>
      <c r="R34" s="107">
        <v>1</v>
      </c>
      <c r="S34" s="107">
        <v>0</v>
      </c>
      <c r="T34" s="107">
        <v>1</v>
      </c>
      <c r="U34" s="107">
        <v>5</v>
      </c>
    </row>
    <row r="35" spans="1:21" x14ac:dyDescent="0.25">
      <c r="A35" s="107">
        <v>32</v>
      </c>
      <c r="B35" s="107" t="s">
        <v>195</v>
      </c>
      <c r="C35" s="107">
        <v>0</v>
      </c>
      <c r="D35" s="107">
        <v>0</v>
      </c>
      <c r="E35" s="107">
        <v>0</v>
      </c>
      <c r="F35" s="107">
        <v>1</v>
      </c>
      <c r="G35" s="107">
        <v>0</v>
      </c>
      <c r="H35" s="107">
        <v>0</v>
      </c>
      <c r="I35" s="107">
        <v>0</v>
      </c>
      <c r="J35" s="107">
        <v>0</v>
      </c>
      <c r="K35" s="107">
        <v>0</v>
      </c>
      <c r="L35" s="107">
        <v>0</v>
      </c>
      <c r="M35" s="107">
        <v>0</v>
      </c>
      <c r="N35" s="107">
        <v>0</v>
      </c>
      <c r="O35" s="107">
        <v>1</v>
      </c>
      <c r="P35" s="107">
        <v>1</v>
      </c>
      <c r="Q35" s="107">
        <v>0</v>
      </c>
      <c r="R35" s="107">
        <v>0</v>
      </c>
      <c r="S35" s="107">
        <v>1</v>
      </c>
      <c r="T35" s="107">
        <v>1</v>
      </c>
      <c r="U35" s="107">
        <v>5</v>
      </c>
    </row>
    <row r="36" spans="1:21" x14ac:dyDescent="0.25">
      <c r="A36" s="107">
        <v>33</v>
      </c>
      <c r="B36" s="107" t="s">
        <v>196</v>
      </c>
      <c r="C36" s="107">
        <v>1</v>
      </c>
      <c r="D36" s="107">
        <v>0</v>
      </c>
      <c r="E36" s="107">
        <v>0</v>
      </c>
      <c r="F36" s="107">
        <v>0</v>
      </c>
      <c r="G36" s="107">
        <v>0</v>
      </c>
      <c r="H36" s="107">
        <v>0</v>
      </c>
      <c r="I36" s="107">
        <v>0</v>
      </c>
      <c r="J36" s="107">
        <v>0</v>
      </c>
      <c r="K36" s="107">
        <v>0</v>
      </c>
      <c r="L36" s="107">
        <v>0</v>
      </c>
      <c r="M36" s="107">
        <v>0</v>
      </c>
      <c r="N36" s="107">
        <v>0</v>
      </c>
      <c r="O36" s="107">
        <v>1</v>
      </c>
      <c r="P36" s="107">
        <v>1</v>
      </c>
      <c r="Q36" s="107">
        <v>0</v>
      </c>
      <c r="R36" s="107">
        <v>0</v>
      </c>
      <c r="S36" s="107">
        <v>0</v>
      </c>
      <c r="T36" s="107">
        <v>0</v>
      </c>
      <c r="U36" s="107">
        <v>3</v>
      </c>
    </row>
    <row r="37" spans="1:21" x14ac:dyDescent="0.25">
      <c r="A37" s="107">
        <v>34</v>
      </c>
      <c r="B37" s="107" t="s">
        <v>197</v>
      </c>
      <c r="C37" s="107">
        <v>0</v>
      </c>
      <c r="D37" s="107">
        <v>0</v>
      </c>
      <c r="E37" s="107">
        <v>0</v>
      </c>
      <c r="F37" s="107">
        <v>0</v>
      </c>
      <c r="G37" s="107">
        <v>0</v>
      </c>
      <c r="H37" s="107">
        <v>0</v>
      </c>
      <c r="I37" s="107">
        <v>1</v>
      </c>
      <c r="J37" s="107">
        <v>0</v>
      </c>
      <c r="K37" s="107">
        <v>0</v>
      </c>
      <c r="L37" s="107">
        <v>0</v>
      </c>
      <c r="M37" s="107">
        <v>0</v>
      </c>
      <c r="N37" s="107">
        <v>1</v>
      </c>
      <c r="O37" s="107">
        <v>0</v>
      </c>
      <c r="P37" s="107">
        <v>0</v>
      </c>
      <c r="Q37" s="107">
        <v>0</v>
      </c>
      <c r="R37" s="107">
        <v>0</v>
      </c>
      <c r="S37" s="107">
        <v>1</v>
      </c>
      <c r="T37" s="107">
        <v>0</v>
      </c>
      <c r="U37" s="107">
        <v>3</v>
      </c>
    </row>
    <row r="38" spans="1:21" x14ac:dyDescent="0.25">
      <c r="A38" s="107">
        <v>35</v>
      </c>
      <c r="B38" s="107" t="s">
        <v>198</v>
      </c>
      <c r="C38" s="107">
        <v>0</v>
      </c>
      <c r="D38" s="107">
        <v>0</v>
      </c>
      <c r="E38" s="107">
        <v>0</v>
      </c>
      <c r="F38" s="107">
        <v>0</v>
      </c>
      <c r="G38" s="107">
        <v>1</v>
      </c>
      <c r="H38" s="107">
        <v>0</v>
      </c>
      <c r="I38" s="107">
        <v>1</v>
      </c>
      <c r="J38" s="107">
        <v>0</v>
      </c>
      <c r="K38" s="107">
        <v>0</v>
      </c>
      <c r="L38" s="107">
        <v>0</v>
      </c>
      <c r="M38" s="107">
        <v>0</v>
      </c>
      <c r="N38" s="107">
        <v>0</v>
      </c>
      <c r="O38" s="107">
        <v>0</v>
      </c>
      <c r="P38" s="107">
        <v>0</v>
      </c>
      <c r="Q38" s="107">
        <v>0</v>
      </c>
      <c r="R38" s="107">
        <v>0</v>
      </c>
      <c r="S38" s="107">
        <v>0</v>
      </c>
      <c r="T38" s="107">
        <v>0</v>
      </c>
      <c r="U38" s="107">
        <v>2</v>
      </c>
    </row>
    <row r="39" spans="1:21" x14ac:dyDescent="0.25">
      <c r="A39" s="107">
        <v>36</v>
      </c>
      <c r="B39" s="107" t="s">
        <v>199</v>
      </c>
      <c r="C39" s="107">
        <v>0</v>
      </c>
      <c r="D39" s="107">
        <v>0</v>
      </c>
      <c r="E39" s="107">
        <v>0</v>
      </c>
      <c r="F39" s="107">
        <v>0</v>
      </c>
      <c r="G39" s="107">
        <v>1</v>
      </c>
      <c r="H39" s="107">
        <v>0</v>
      </c>
      <c r="I39" s="107">
        <v>0</v>
      </c>
      <c r="J39" s="107">
        <v>0</v>
      </c>
      <c r="K39" s="107">
        <v>0</v>
      </c>
      <c r="L39" s="107">
        <v>0</v>
      </c>
      <c r="M39" s="107">
        <v>0</v>
      </c>
      <c r="N39" s="107">
        <v>0</v>
      </c>
      <c r="O39" s="107">
        <v>0</v>
      </c>
      <c r="P39" s="107">
        <v>0</v>
      </c>
      <c r="Q39" s="107">
        <v>0</v>
      </c>
      <c r="R39" s="107">
        <v>0</v>
      </c>
      <c r="S39" s="107">
        <v>0</v>
      </c>
      <c r="T39" s="107">
        <v>0</v>
      </c>
      <c r="U39" s="107">
        <v>1</v>
      </c>
    </row>
    <row r="40" spans="1:21" x14ac:dyDescent="0.25">
      <c r="A40" s="107">
        <v>37</v>
      </c>
      <c r="B40" s="107" t="s">
        <v>200</v>
      </c>
      <c r="C40" s="107">
        <v>0</v>
      </c>
      <c r="D40" s="107">
        <v>0</v>
      </c>
      <c r="E40" s="107">
        <v>0</v>
      </c>
      <c r="F40" s="107">
        <v>0</v>
      </c>
      <c r="G40" s="107">
        <v>0</v>
      </c>
      <c r="H40" s="107">
        <v>1</v>
      </c>
      <c r="I40" s="107">
        <v>0</v>
      </c>
      <c r="J40" s="107">
        <v>0</v>
      </c>
      <c r="K40" s="107">
        <v>0</v>
      </c>
      <c r="L40" s="107">
        <v>0</v>
      </c>
      <c r="M40" s="107">
        <v>0</v>
      </c>
      <c r="N40" s="107">
        <v>0</v>
      </c>
      <c r="O40" s="107">
        <v>0</v>
      </c>
      <c r="P40" s="107">
        <v>0</v>
      </c>
      <c r="Q40" s="107">
        <v>0</v>
      </c>
      <c r="R40" s="107">
        <v>0</v>
      </c>
      <c r="S40" s="107">
        <v>0</v>
      </c>
      <c r="T40" s="107">
        <v>0</v>
      </c>
      <c r="U40" s="107">
        <v>1</v>
      </c>
    </row>
    <row r="41" spans="1:21" x14ac:dyDescent="0.25">
      <c r="A41" s="107">
        <v>38</v>
      </c>
      <c r="B41" s="107" t="s">
        <v>201</v>
      </c>
      <c r="C41" s="107">
        <v>0</v>
      </c>
      <c r="D41" s="107">
        <v>0</v>
      </c>
      <c r="E41" s="107">
        <v>0</v>
      </c>
      <c r="F41" s="107">
        <v>0</v>
      </c>
      <c r="G41" s="107">
        <v>0</v>
      </c>
      <c r="H41" s="107">
        <v>0</v>
      </c>
      <c r="I41" s="107">
        <v>0</v>
      </c>
      <c r="J41" s="107">
        <v>0</v>
      </c>
      <c r="K41" s="107">
        <v>0</v>
      </c>
      <c r="L41" s="107">
        <v>0</v>
      </c>
      <c r="M41" s="107">
        <v>0</v>
      </c>
      <c r="N41" s="107">
        <v>1</v>
      </c>
      <c r="O41" s="107">
        <v>0</v>
      </c>
      <c r="P41" s="107">
        <v>0</v>
      </c>
      <c r="Q41" s="107">
        <v>0</v>
      </c>
      <c r="R41" s="107">
        <v>0</v>
      </c>
      <c r="S41" s="107">
        <v>0</v>
      </c>
      <c r="T41" s="107">
        <v>0</v>
      </c>
      <c r="U41" s="107">
        <v>1</v>
      </c>
    </row>
    <row r="42" spans="1:21" x14ac:dyDescent="0.25">
      <c r="A42" s="107">
        <v>39</v>
      </c>
      <c r="B42" s="107" t="s">
        <v>202</v>
      </c>
      <c r="C42" s="107">
        <v>0</v>
      </c>
      <c r="D42" s="107">
        <v>0</v>
      </c>
      <c r="E42" s="107">
        <v>0</v>
      </c>
      <c r="F42" s="107">
        <v>0</v>
      </c>
      <c r="G42" s="107">
        <v>0</v>
      </c>
      <c r="H42" s="107">
        <v>0</v>
      </c>
      <c r="I42" s="107">
        <v>0</v>
      </c>
      <c r="J42" s="107">
        <v>0</v>
      </c>
      <c r="K42" s="107">
        <v>0</v>
      </c>
      <c r="L42" s="107">
        <v>0</v>
      </c>
      <c r="M42" s="107">
        <v>0</v>
      </c>
      <c r="N42" s="107">
        <v>1</v>
      </c>
      <c r="O42" s="107">
        <v>0</v>
      </c>
      <c r="P42" s="107">
        <v>0</v>
      </c>
      <c r="Q42" s="107">
        <v>0</v>
      </c>
      <c r="R42" s="107">
        <v>0</v>
      </c>
      <c r="S42" s="107">
        <v>0</v>
      </c>
      <c r="T42" s="107">
        <v>0</v>
      </c>
      <c r="U42" s="107">
        <v>1</v>
      </c>
    </row>
    <row r="43" spans="1:21" x14ac:dyDescent="0.25">
      <c r="A43" s="107">
        <v>40</v>
      </c>
      <c r="B43" s="107" t="s">
        <v>203</v>
      </c>
      <c r="C43" s="107">
        <v>0</v>
      </c>
      <c r="D43" s="107">
        <v>0</v>
      </c>
      <c r="E43" s="107">
        <v>0</v>
      </c>
      <c r="F43" s="107">
        <v>0</v>
      </c>
      <c r="G43" s="107">
        <v>0</v>
      </c>
      <c r="H43" s="107">
        <v>0</v>
      </c>
      <c r="I43" s="107">
        <v>0</v>
      </c>
      <c r="J43" s="107">
        <v>0</v>
      </c>
      <c r="K43" s="107">
        <v>0</v>
      </c>
      <c r="L43" s="107">
        <v>0</v>
      </c>
      <c r="M43" s="107">
        <v>0</v>
      </c>
      <c r="N43" s="107">
        <v>0</v>
      </c>
      <c r="O43" s="107">
        <v>0</v>
      </c>
      <c r="P43" s="107">
        <v>1</v>
      </c>
      <c r="Q43" s="107">
        <v>0</v>
      </c>
      <c r="R43" s="107">
        <v>0</v>
      </c>
      <c r="S43" s="107">
        <v>0</v>
      </c>
      <c r="T43" s="107">
        <v>0</v>
      </c>
      <c r="U43" s="107">
        <v>1</v>
      </c>
    </row>
    <row r="44" spans="1:21" x14ac:dyDescent="0.25">
      <c r="A44" s="107"/>
      <c r="B44" s="107" t="s">
        <v>204</v>
      </c>
      <c r="C44" s="107">
        <v>357</v>
      </c>
      <c r="D44" s="107">
        <v>373</v>
      </c>
      <c r="E44" s="107">
        <v>347</v>
      </c>
      <c r="F44" s="107">
        <v>359</v>
      </c>
      <c r="G44" s="107">
        <v>345</v>
      </c>
      <c r="H44" s="107">
        <v>341</v>
      </c>
      <c r="I44" s="107">
        <v>372</v>
      </c>
      <c r="J44" s="107">
        <v>305</v>
      </c>
      <c r="K44" s="107">
        <v>266</v>
      </c>
      <c r="L44" s="107">
        <v>378</v>
      </c>
      <c r="M44" s="107">
        <v>344</v>
      </c>
      <c r="N44" s="107">
        <v>362</v>
      </c>
      <c r="O44" s="107">
        <v>399</v>
      </c>
      <c r="P44" s="107">
        <v>398</v>
      </c>
      <c r="Q44" s="107">
        <v>403</v>
      </c>
      <c r="R44" s="107">
        <v>281</v>
      </c>
      <c r="S44" s="107">
        <v>407</v>
      </c>
      <c r="T44" s="107">
        <v>381</v>
      </c>
      <c r="U44" s="107">
        <v>6418</v>
      </c>
    </row>
    <row r="45" spans="1:21" x14ac:dyDescent="0.25">
      <c r="A45" s="107"/>
      <c r="B45" s="107" t="s">
        <v>205</v>
      </c>
      <c r="C45" s="107">
        <v>796</v>
      </c>
      <c r="D45" s="107">
        <v>802</v>
      </c>
      <c r="E45" s="107">
        <v>779</v>
      </c>
      <c r="F45" s="107">
        <v>783</v>
      </c>
      <c r="G45" s="107">
        <v>788</v>
      </c>
      <c r="H45" s="107">
        <v>799</v>
      </c>
      <c r="I45" s="107">
        <v>797</v>
      </c>
      <c r="J45" s="107">
        <v>722</v>
      </c>
      <c r="K45" s="107">
        <v>665</v>
      </c>
      <c r="L45" s="107">
        <v>849</v>
      </c>
      <c r="M45" s="107">
        <v>775</v>
      </c>
      <c r="N45" s="107">
        <v>809</v>
      </c>
      <c r="O45" s="107">
        <v>906</v>
      </c>
      <c r="P45" s="107">
        <v>932</v>
      </c>
      <c r="Q45" s="107">
        <v>913</v>
      </c>
      <c r="R45" s="107">
        <v>626</v>
      </c>
      <c r="S45" s="107">
        <v>913</v>
      </c>
      <c r="T45" s="107">
        <v>873</v>
      </c>
      <c r="U45" s="107">
        <v>14527</v>
      </c>
    </row>
  </sheetData>
  <mergeCells count="2">
    <mergeCell ref="A1:U1"/>
    <mergeCell ref="A2:U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A77F6-F3C6-D541-B6FC-3080D1D13111}">
  <dimension ref="A1:C51"/>
  <sheetViews>
    <sheetView zoomScale="120" zoomScaleNormal="120" workbookViewId="0">
      <pane ySplit="3" topLeftCell="A4" activePane="bottomLeft" state="frozen"/>
      <selection pane="bottomLeft" activeCell="C15" sqref="C15"/>
    </sheetView>
  </sheetViews>
  <sheetFormatPr baseColWidth="10" defaultRowHeight="16" x14ac:dyDescent="0.2"/>
  <cols>
    <col min="1" max="3" width="43.1640625" customWidth="1"/>
  </cols>
  <sheetData>
    <row r="1" spans="1:3" x14ac:dyDescent="0.2">
      <c r="A1" s="114" t="s">
        <v>351</v>
      </c>
      <c r="B1" s="114"/>
      <c r="C1" s="114"/>
    </row>
    <row r="2" spans="1:3" ht="42" customHeight="1" x14ac:dyDescent="0.2">
      <c r="A2" s="115" t="s">
        <v>288</v>
      </c>
      <c r="B2" s="115"/>
      <c r="C2" s="115"/>
    </row>
    <row r="3" spans="1:3" ht="17" x14ac:dyDescent="0.2">
      <c r="A3" s="29" t="s">
        <v>172</v>
      </c>
      <c r="B3" s="29" t="s">
        <v>242</v>
      </c>
      <c r="C3" s="29" t="s">
        <v>284</v>
      </c>
    </row>
    <row r="4" spans="1:3" x14ac:dyDescent="0.2">
      <c r="A4" s="116" t="s">
        <v>205</v>
      </c>
      <c r="B4" s="116" t="s">
        <v>287</v>
      </c>
      <c r="C4" s="116">
        <v>1339</v>
      </c>
    </row>
    <row r="5" spans="1:3" x14ac:dyDescent="0.2">
      <c r="A5" s="31"/>
      <c r="B5" s="31" t="s">
        <v>281</v>
      </c>
      <c r="C5" s="31">
        <v>1503</v>
      </c>
    </row>
    <row r="6" spans="1:3" x14ac:dyDescent="0.2">
      <c r="A6" s="31"/>
      <c r="B6" s="31" t="s">
        <v>282</v>
      </c>
      <c r="C6" s="31">
        <v>1454</v>
      </c>
    </row>
    <row r="7" spans="1:3" x14ac:dyDescent="0.2">
      <c r="A7" s="31"/>
      <c r="B7" s="31" t="s">
        <v>283</v>
      </c>
      <c r="C7" s="31">
        <v>1518</v>
      </c>
    </row>
    <row r="8" spans="1:3" x14ac:dyDescent="0.2">
      <c r="A8" s="31"/>
      <c r="B8" s="31" t="s">
        <v>285</v>
      </c>
      <c r="C8" s="31">
        <v>1566</v>
      </c>
    </row>
    <row r="9" spans="1:3" x14ac:dyDescent="0.2">
      <c r="A9" s="117"/>
      <c r="B9" s="117" t="s">
        <v>286</v>
      </c>
      <c r="C9" s="117">
        <v>1461</v>
      </c>
    </row>
    <row r="10" spans="1:3" x14ac:dyDescent="0.2">
      <c r="A10" s="118" t="s">
        <v>29</v>
      </c>
      <c r="B10" s="118" t="s">
        <v>287</v>
      </c>
      <c r="C10" s="118">
        <v>155</v>
      </c>
    </row>
    <row r="11" spans="1:3" x14ac:dyDescent="0.2">
      <c r="A11" s="118"/>
      <c r="B11" s="118" t="s">
        <v>281</v>
      </c>
      <c r="C11" s="118">
        <v>154</v>
      </c>
    </row>
    <row r="12" spans="1:3" x14ac:dyDescent="0.2">
      <c r="A12" s="118"/>
      <c r="B12" s="118" t="s">
        <v>282</v>
      </c>
      <c r="C12" s="118">
        <v>154</v>
      </c>
    </row>
    <row r="13" spans="1:3" x14ac:dyDescent="0.2">
      <c r="A13" s="118"/>
      <c r="B13" s="118" t="s">
        <v>283</v>
      </c>
      <c r="C13" s="118">
        <v>153</v>
      </c>
    </row>
    <row r="14" spans="1:3" x14ac:dyDescent="0.2">
      <c r="A14" s="118"/>
      <c r="B14" s="118" t="s">
        <v>285</v>
      </c>
      <c r="C14" s="118">
        <v>147</v>
      </c>
    </row>
    <row r="15" spans="1:3" x14ac:dyDescent="0.2">
      <c r="A15" s="118"/>
      <c r="B15" s="118" t="s">
        <v>286</v>
      </c>
      <c r="C15" s="118">
        <v>157</v>
      </c>
    </row>
    <row r="16" spans="1:3" x14ac:dyDescent="0.2">
      <c r="A16" s="116" t="s">
        <v>20</v>
      </c>
      <c r="B16" s="116" t="s">
        <v>287</v>
      </c>
      <c r="C16" s="116">
        <v>120</v>
      </c>
    </row>
    <row r="17" spans="1:3" x14ac:dyDescent="0.2">
      <c r="A17" s="31"/>
      <c r="B17" s="31" t="s">
        <v>281</v>
      </c>
      <c r="C17" s="31">
        <v>115</v>
      </c>
    </row>
    <row r="18" spans="1:3" x14ac:dyDescent="0.2">
      <c r="A18" s="31"/>
      <c r="B18" s="31" t="s">
        <v>282</v>
      </c>
      <c r="C18" s="31">
        <v>127</v>
      </c>
    </row>
    <row r="19" spans="1:3" x14ac:dyDescent="0.2">
      <c r="A19" s="31"/>
      <c r="B19" s="31" t="s">
        <v>283</v>
      </c>
      <c r="C19" s="31">
        <v>124</v>
      </c>
    </row>
    <row r="20" spans="1:3" x14ac:dyDescent="0.2">
      <c r="A20" s="31"/>
      <c r="B20" s="31" t="s">
        <v>285</v>
      </c>
      <c r="C20" s="31">
        <v>127</v>
      </c>
    </row>
    <row r="21" spans="1:3" x14ac:dyDescent="0.2">
      <c r="A21" s="117"/>
      <c r="B21" s="117" t="s">
        <v>286</v>
      </c>
      <c r="C21" s="117">
        <v>125</v>
      </c>
    </row>
    <row r="22" spans="1:3" x14ac:dyDescent="0.2">
      <c r="A22" s="118" t="s">
        <v>174</v>
      </c>
      <c r="B22" s="118" t="s">
        <v>287</v>
      </c>
      <c r="C22" s="118">
        <v>115</v>
      </c>
    </row>
    <row r="23" spans="1:3" x14ac:dyDescent="0.2">
      <c r="A23" s="118"/>
      <c r="B23" s="118" t="s">
        <v>281</v>
      </c>
      <c r="C23" s="118">
        <v>108</v>
      </c>
    </row>
    <row r="24" spans="1:3" x14ac:dyDescent="0.2">
      <c r="A24" s="118"/>
      <c r="B24" s="118" t="s">
        <v>282</v>
      </c>
      <c r="C24" s="118">
        <v>87</v>
      </c>
    </row>
    <row r="25" spans="1:3" x14ac:dyDescent="0.2">
      <c r="A25" s="118"/>
      <c r="B25" s="118" t="s">
        <v>283</v>
      </c>
      <c r="C25" s="118">
        <v>114</v>
      </c>
    </row>
    <row r="26" spans="1:3" x14ac:dyDescent="0.2">
      <c r="A26" s="118"/>
      <c r="B26" s="118" t="s">
        <v>285</v>
      </c>
      <c r="C26" s="118">
        <v>110</v>
      </c>
    </row>
    <row r="27" spans="1:3" x14ac:dyDescent="0.2">
      <c r="A27" s="118"/>
      <c r="B27" s="118" t="s">
        <v>286</v>
      </c>
      <c r="C27" s="118">
        <v>99</v>
      </c>
    </row>
    <row r="28" spans="1:3" x14ac:dyDescent="0.2">
      <c r="A28" s="116" t="s">
        <v>30</v>
      </c>
      <c r="B28" s="116" t="s">
        <v>287</v>
      </c>
      <c r="C28" s="116">
        <v>66</v>
      </c>
    </row>
    <row r="29" spans="1:3" x14ac:dyDescent="0.2">
      <c r="A29" s="31"/>
      <c r="B29" s="31" t="s">
        <v>281</v>
      </c>
      <c r="C29" s="31">
        <v>78</v>
      </c>
    </row>
    <row r="30" spans="1:3" x14ac:dyDescent="0.2">
      <c r="A30" s="31"/>
      <c r="B30" s="31" t="s">
        <v>282</v>
      </c>
      <c r="C30" s="31">
        <v>70</v>
      </c>
    </row>
    <row r="31" spans="1:3" x14ac:dyDescent="0.2">
      <c r="A31" s="31"/>
      <c r="B31" s="31" t="s">
        <v>283</v>
      </c>
      <c r="C31" s="31">
        <v>78</v>
      </c>
    </row>
    <row r="32" spans="1:3" x14ac:dyDescent="0.2">
      <c r="A32" s="31"/>
      <c r="B32" s="31" t="s">
        <v>285</v>
      </c>
      <c r="C32" s="31">
        <v>80</v>
      </c>
    </row>
    <row r="33" spans="1:3" x14ac:dyDescent="0.2">
      <c r="A33" s="117"/>
      <c r="B33" s="117" t="s">
        <v>286</v>
      </c>
      <c r="C33" s="117">
        <v>73</v>
      </c>
    </row>
    <row r="34" spans="1:3" x14ac:dyDescent="0.2">
      <c r="A34" s="118" t="s">
        <v>176</v>
      </c>
      <c r="B34" s="118" t="s">
        <v>287</v>
      </c>
      <c r="C34" s="118">
        <v>74</v>
      </c>
    </row>
    <row r="35" spans="1:3" x14ac:dyDescent="0.2">
      <c r="A35" s="118"/>
      <c r="B35" s="118" t="s">
        <v>281</v>
      </c>
      <c r="C35" s="118">
        <v>77</v>
      </c>
    </row>
    <row r="36" spans="1:3" x14ac:dyDescent="0.2">
      <c r="A36" s="118"/>
      <c r="B36" s="118" t="s">
        <v>282</v>
      </c>
      <c r="C36" s="118">
        <v>76</v>
      </c>
    </row>
    <row r="37" spans="1:3" x14ac:dyDescent="0.2">
      <c r="A37" s="118"/>
      <c r="B37" s="118" t="s">
        <v>283</v>
      </c>
      <c r="C37" s="118">
        <v>82</v>
      </c>
    </row>
    <row r="38" spans="1:3" x14ac:dyDescent="0.2">
      <c r="A38" s="118"/>
      <c r="B38" s="118" t="s">
        <v>285</v>
      </c>
      <c r="C38" s="118">
        <v>87</v>
      </c>
    </row>
    <row r="39" spans="1:3" x14ac:dyDescent="0.2">
      <c r="A39" s="118"/>
      <c r="B39" s="118" t="s">
        <v>286</v>
      </c>
      <c r="C39" s="118">
        <v>65</v>
      </c>
    </row>
    <row r="40" spans="1:3" x14ac:dyDescent="0.2">
      <c r="A40" s="116" t="s">
        <v>21</v>
      </c>
      <c r="B40" s="116" t="s">
        <v>287</v>
      </c>
      <c r="C40" s="116">
        <v>41</v>
      </c>
    </row>
    <row r="41" spans="1:3" x14ac:dyDescent="0.2">
      <c r="A41" s="31"/>
      <c r="B41" s="31" t="s">
        <v>281</v>
      </c>
      <c r="C41" s="31">
        <v>55</v>
      </c>
    </row>
    <row r="42" spans="1:3" x14ac:dyDescent="0.2">
      <c r="A42" s="31"/>
      <c r="B42" s="31" t="s">
        <v>282</v>
      </c>
      <c r="C42" s="31">
        <v>44</v>
      </c>
    </row>
    <row r="43" spans="1:3" x14ac:dyDescent="0.2">
      <c r="A43" s="31"/>
      <c r="B43" s="31" t="s">
        <v>283</v>
      </c>
      <c r="C43" s="31">
        <v>49</v>
      </c>
    </row>
    <row r="44" spans="1:3" x14ac:dyDescent="0.2">
      <c r="A44" s="31"/>
      <c r="B44" s="31" t="s">
        <v>285</v>
      </c>
      <c r="C44" s="31">
        <v>56</v>
      </c>
    </row>
    <row r="45" spans="1:3" x14ac:dyDescent="0.2">
      <c r="A45" s="117"/>
      <c r="B45" s="117" t="s">
        <v>286</v>
      </c>
      <c r="C45" s="117">
        <v>41</v>
      </c>
    </row>
    <row r="46" spans="1:3" x14ac:dyDescent="0.2">
      <c r="A46" s="119" t="s">
        <v>175</v>
      </c>
      <c r="B46" s="119" t="s">
        <v>287</v>
      </c>
      <c r="C46" s="119">
        <v>68</v>
      </c>
    </row>
    <row r="47" spans="1:3" x14ac:dyDescent="0.2">
      <c r="A47" s="118"/>
      <c r="B47" s="118" t="s">
        <v>281</v>
      </c>
      <c r="C47" s="118">
        <v>69</v>
      </c>
    </row>
    <row r="48" spans="1:3" x14ac:dyDescent="0.2">
      <c r="A48" s="118"/>
      <c r="B48" s="118" t="s">
        <v>282</v>
      </c>
      <c r="C48" s="118">
        <v>78</v>
      </c>
    </row>
    <row r="49" spans="1:3" x14ac:dyDescent="0.2">
      <c r="A49" s="118"/>
      <c r="B49" s="118" t="s">
        <v>283</v>
      </c>
      <c r="C49" s="118">
        <v>71</v>
      </c>
    </row>
    <row r="50" spans="1:3" x14ac:dyDescent="0.2">
      <c r="A50" s="118"/>
      <c r="B50" s="118" t="s">
        <v>285</v>
      </c>
      <c r="C50" s="118">
        <v>73</v>
      </c>
    </row>
    <row r="51" spans="1:3" x14ac:dyDescent="0.2">
      <c r="A51" s="120"/>
      <c r="B51" s="120" t="s">
        <v>286</v>
      </c>
      <c r="C51" s="120">
        <v>68</v>
      </c>
    </row>
  </sheetData>
  <mergeCells count="2">
    <mergeCell ref="A1:C1"/>
    <mergeCell ref="A2:C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C9A64-85A1-7D4E-B260-09C09E78B38F}">
  <dimension ref="A1:R30"/>
  <sheetViews>
    <sheetView topLeftCell="A9" zoomScale="110" zoomScaleNormal="110" workbookViewId="0">
      <selection activeCell="G15" sqref="G15"/>
    </sheetView>
  </sheetViews>
  <sheetFormatPr baseColWidth="10" defaultRowHeight="16" x14ac:dyDescent="0.2"/>
  <cols>
    <col min="1" max="1" width="22.1640625" customWidth="1"/>
    <col min="2" max="2" width="17.1640625" customWidth="1"/>
    <col min="3" max="3" width="24.33203125" customWidth="1"/>
    <col min="4" max="4" width="39.6640625" customWidth="1"/>
    <col min="5" max="5" width="26.6640625" customWidth="1"/>
    <col min="6" max="6" width="32.33203125" customWidth="1"/>
    <col min="7" max="7" width="10.33203125" customWidth="1"/>
    <col min="8" max="8" width="6.5" bestFit="1" customWidth="1"/>
    <col min="9" max="9" width="12.33203125" bestFit="1" customWidth="1"/>
    <col min="10" max="10" width="7.83203125" bestFit="1" customWidth="1"/>
    <col min="11" max="11" width="19" bestFit="1" customWidth="1"/>
  </cols>
  <sheetData>
    <row r="1" spans="1:18" ht="78" customHeight="1" x14ac:dyDescent="0.2">
      <c r="A1" s="69" t="s">
        <v>352</v>
      </c>
      <c r="B1" s="69"/>
      <c r="C1" s="69"/>
      <c r="D1" s="69"/>
      <c r="E1" s="69"/>
      <c r="F1" s="69"/>
      <c r="G1" s="69"/>
      <c r="H1" s="28"/>
      <c r="I1" s="28"/>
      <c r="J1" s="28"/>
      <c r="K1" s="28"/>
    </row>
    <row r="2" spans="1:18" ht="20" thickBot="1" x14ac:dyDescent="0.25">
      <c r="A2" s="19" t="s">
        <v>229</v>
      </c>
      <c r="B2" s="19" t="s">
        <v>230</v>
      </c>
      <c r="C2" s="19" t="s">
        <v>216</v>
      </c>
      <c r="D2" s="19" t="s">
        <v>231</v>
      </c>
      <c r="E2" s="19" t="s">
        <v>2</v>
      </c>
      <c r="F2" s="19" t="s">
        <v>232</v>
      </c>
      <c r="G2" s="19" t="s">
        <v>3</v>
      </c>
      <c r="N2" s="1"/>
      <c r="O2" s="2"/>
      <c r="P2" s="2"/>
      <c r="Q2" s="2"/>
      <c r="R2" s="1"/>
    </row>
    <row r="3" spans="1:18" x14ac:dyDescent="0.2">
      <c r="A3" t="s">
        <v>241</v>
      </c>
      <c r="B3" t="s">
        <v>206</v>
      </c>
      <c r="C3">
        <v>5</v>
      </c>
      <c r="D3" s="24">
        <v>0.55900000000000005</v>
      </c>
      <c r="E3" s="24">
        <v>0.29599999999999999</v>
      </c>
      <c r="F3" s="24">
        <v>1.1100000000000001</v>
      </c>
      <c r="G3" s="25">
        <v>2.5999999999999999E-2</v>
      </c>
    </row>
    <row r="4" spans="1:18" x14ac:dyDescent="0.2">
      <c r="B4" t="s">
        <v>280</v>
      </c>
      <c r="C4">
        <v>2</v>
      </c>
      <c r="D4" s="24">
        <v>0.31</v>
      </c>
      <c r="E4" s="24">
        <v>0.16400000000000001</v>
      </c>
      <c r="F4" s="24">
        <v>1.5389999999999999</v>
      </c>
      <c r="G4" s="24">
        <v>6.7000000000000004E-2</v>
      </c>
    </row>
    <row r="5" spans="1:18" x14ac:dyDescent="0.2">
      <c r="B5" t="s">
        <v>214</v>
      </c>
      <c r="C5">
        <v>10</v>
      </c>
      <c r="D5" s="24">
        <v>1.0069999999999999</v>
      </c>
      <c r="E5" s="24">
        <v>0.53300000000000003</v>
      </c>
      <c r="F5" s="24"/>
      <c r="G5" s="24"/>
    </row>
    <row r="6" spans="1:18" x14ac:dyDescent="0.2">
      <c r="A6" t="s">
        <v>233</v>
      </c>
      <c r="B6" t="s">
        <v>206</v>
      </c>
      <c r="C6">
        <v>5</v>
      </c>
      <c r="D6" s="24">
        <v>0.67100000000000004</v>
      </c>
      <c r="E6" s="24">
        <v>0.29199999999999998</v>
      </c>
      <c r="F6" s="24">
        <v>1.091</v>
      </c>
      <c r="G6" s="24">
        <v>7.1999999999999995E-2</v>
      </c>
    </row>
    <row r="7" spans="1:18" x14ac:dyDescent="0.2">
      <c r="B7" t="s">
        <v>280</v>
      </c>
      <c r="C7">
        <v>2</v>
      </c>
      <c r="D7" s="24">
        <v>0.373</v>
      </c>
      <c r="E7" s="24">
        <v>0.16200000000000001</v>
      </c>
      <c r="F7" s="24">
        <v>1.5129999999999999</v>
      </c>
      <c r="G7" s="24">
        <v>0.16500000000000001</v>
      </c>
    </row>
    <row r="8" spans="1:18" x14ac:dyDescent="0.2">
      <c r="B8" t="s">
        <v>214</v>
      </c>
      <c r="C8">
        <v>10</v>
      </c>
      <c r="D8" s="24">
        <v>1.2310000000000001</v>
      </c>
      <c r="E8" s="24">
        <v>0.53600000000000003</v>
      </c>
      <c r="F8" s="24"/>
      <c r="G8" s="24"/>
    </row>
    <row r="9" spans="1:18" x14ac:dyDescent="0.2">
      <c r="A9" t="s">
        <v>221</v>
      </c>
      <c r="B9" t="s">
        <v>206</v>
      </c>
      <c r="C9">
        <v>5</v>
      </c>
      <c r="D9" s="24">
        <v>0.56299999999999994</v>
      </c>
      <c r="E9" s="24">
        <v>0.312</v>
      </c>
      <c r="F9" s="24">
        <v>1.1759999999999999</v>
      </c>
      <c r="G9" s="25">
        <v>1.4E-2</v>
      </c>
    </row>
    <row r="10" spans="1:18" x14ac:dyDescent="0.2">
      <c r="B10" t="s">
        <v>280</v>
      </c>
      <c r="C10">
        <v>2</v>
      </c>
      <c r="D10" s="24">
        <v>0.26800000000000002</v>
      </c>
      <c r="E10" s="24">
        <v>0.14799999999999999</v>
      </c>
      <c r="F10" s="24">
        <v>1.3979999999999999</v>
      </c>
      <c r="G10" s="24">
        <v>0.20599999999999999</v>
      </c>
    </row>
    <row r="11" spans="1:18" x14ac:dyDescent="0.2">
      <c r="B11" t="s">
        <v>214</v>
      </c>
      <c r="C11">
        <v>10</v>
      </c>
      <c r="D11" s="24">
        <v>0.95699999999999996</v>
      </c>
      <c r="E11" s="24">
        <v>0.53100000000000003</v>
      </c>
      <c r="F11" s="24"/>
      <c r="G11" s="24"/>
    </row>
    <row r="12" spans="1:18" x14ac:dyDescent="0.2">
      <c r="A12" t="s">
        <v>289</v>
      </c>
      <c r="B12" t="s">
        <v>206</v>
      </c>
      <c r="C12">
        <v>5</v>
      </c>
      <c r="D12" s="24">
        <v>0.59899999999999998</v>
      </c>
      <c r="E12" s="24">
        <v>0.31900000000000001</v>
      </c>
      <c r="F12" s="24">
        <v>1.373</v>
      </c>
      <c r="G12" s="25">
        <v>0.01</v>
      </c>
    </row>
    <row r="13" spans="1:18" x14ac:dyDescent="0.2">
      <c r="B13" t="s">
        <v>280</v>
      </c>
      <c r="C13">
        <v>2</v>
      </c>
      <c r="D13" s="24">
        <v>0.28799999999999998</v>
      </c>
      <c r="E13" s="24">
        <v>0.154</v>
      </c>
      <c r="F13" s="24">
        <v>1.6519999999999999</v>
      </c>
      <c r="G13" s="24">
        <v>0.83899999999999997</v>
      </c>
    </row>
    <row r="14" spans="1:18" x14ac:dyDescent="0.2">
      <c r="B14" t="s">
        <v>214</v>
      </c>
      <c r="C14">
        <v>10</v>
      </c>
      <c r="D14" s="24">
        <v>0.872</v>
      </c>
      <c r="E14" s="24">
        <v>0.46500000000000002</v>
      </c>
      <c r="F14" s="24"/>
      <c r="G14" s="24"/>
    </row>
    <row r="15" spans="1:18" x14ac:dyDescent="0.2">
      <c r="D15" s="24"/>
      <c r="E15" s="24"/>
      <c r="F15" s="24"/>
      <c r="G15" s="24"/>
    </row>
    <row r="17" spans="1:11" ht="57" customHeight="1" x14ac:dyDescent="0.2">
      <c r="A17" s="69" t="s">
        <v>353</v>
      </c>
      <c r="B17" s="69"/>
      <c r="C17" s="69"/>
      <c r="D17" s="69"/>
      <c r="E17" s="69"/>
      <c r="F17" s="69"/>
      <c r="G17" s="28"/>
      <c r="H17" s="28"/>
      <c r="I17" s="28"/>
      <c r="J17" s="28"/>
      <c r="K17" s="28"/>
    </row>
    <row r="18" spans="1:11" ht="18" thickBot="1" x14ac:dyDescent="0.25">
      <c r="A18" s="19" t="s">
        <v>229</v>
      </c>
      <c r="B18" s="19" t="s">
        <v>216</v>
      </c>
      <c r="C18" s="19" t="s">
        <v>234</v>
      </c>
      <c r="D18" s="19" t="s">
        <v>215</v>
      </c>
      <c r="E18" s="19" t="s">
        <v>232</v>
      </c>
      <c r="F18" s="19" t="s">
        <v>3</v>
      </c>
    </row>
    <row r="19" spans="1:11" x14ac:dyDescent="0.2">
      <c r="A19" t="s">
        <v>241</v>
      </c>
      <c r="B19" s="23" t="s">
        <v>235</v>
      </c>
      <c r="C19" s="26">
        <v>1.8799999999999999E-3</v>
      </c>
      <c r="D19" s="26">
        <v>3.8000000000000002E-4</v>
      </c>
      <c r="E19" s="27">
        <v>0.26</v>
      </c>
      <c r="F19" s="27">
        <v>0.92600000000000005</v>
      </c>
    </row>
    <row r="20" spans="1:11" x14ac:dyDescent="0.2">
      <c r="A20" t="s">
        <v>233</v>
      </c>
      <c r="B20" s="23" t="s">
        <v>235</v>
      </c>
      <c r="C20" s="26">
        <v>4.1799999999999997E-3</v>
      </c>
      <c r="D20" s="26">
        <v>8.4000000000000003E-4</v>
      </c>
      <c r="E20" s="27">
        <v>0.41499999999999998</v>
      </c>
      <c r="F20" s="27">
        <v>0.83</v>
      </c>
    </row>
    <row r="21" spans="1:11" x14ac:dyDescent="0.2">
      <c r="A21" t="s">
        <v>221</v>
      </c>
      <c r="B21" s="23" t="s">
        <v>235</v>
      </c>
      <c r="C21" s="26">
        <v>2.3800000000000002E-3</v>
      </c>
      <c r="D21" s="26">
        <v>4.8000000000000001E-4</v>
      </c>
      <c r="E21" s="27">
        <v>0.501</v>
      </c>
      <c r="F21" s="27">
        <v>0.77</v>
      </c>
    </row>
    <row r="22" spans="1:11" x14ac:dyDescent="0.2">
      <c r="A22" t="s">
        <v>289</v>
      </c>
      <c r="B22" s="23" t="s">
        <v>235</v>
      </c>
      <c r="C22" s="26">
        <v>9.3500000000000007E-3</v>
      </c>
      <c r="D22" s="26">
        <v>1.8699999999999999E-3</v>
      </c>
      <c r="E22" s="27">
        <v>0.84499999999999997</v>
      </c>
      <c r="F22" s="27">
        <v>0.54400000000000004</v>
      </c>
    </row>
    <row r="23" spans="1:11" x14ac:dyDescent="0.2">
      <c r="B23" s="23"/>
      <c r="C23" s="26"/>
      <c r="D23" s="26"/>
      <c r="E23" s="27"/>
      <c r="F23" s="27"/>
    </row>
    <row r="25" spans="1:11" ht="40" customHeight="1" x14ac:dyDescent="0.2">
      <c r="A25" s="68" t="s">
        <v>354</v>
      </c>
      <c r="B25" s="68"/>
      <c r="C25" s="68"/>
      <c r="D25" s="68"/>
      <c r="E25" s="68"/>
      <c r="F25" s="68"/>
      <c r="G25" s="28"/>
      <c r="H25" s="28"/>
      <c r="I25" s="28"/>
      <c r="J25" s="28"/>
      <c r="K25" s="28"/>
    </row>
    <row r="26" spans="1:11" ht="35" thickBot="1" x14ac:dyDescent="0.25">
      <c r="A26" s="19" t="s">
        <v>229</v>
      </c>
      <c r="B26" s="19" t="s">
        <v>236</v>
      </c>
      <c r="C26" s="19" t="s">
        <v>237</v>
      </c>
      <c r="D26" s="19" t="s">
        <v>238</v>
      </c>
      <c r="E26" s="19" t="s">
        <v>239</v>
      </c>
      <c r="F26" s="19" t="s">
        <v>240</v>
      </c>
    </row>
    <row r="27" spans="1:11" x14ac:dyDescent="0.2">
      <c r="A27" t="s">
        <v>241</v>
      </c>
      <c r="B27" s="23">
        <v>46.69</v>
      </c>
      <c r="C27" s="23">
        <v>53.31</v>
      </c>
      <c r="D27" s="23">
        <v>25.32</v>
      </c>
      <c r="E27" s="27">
        <v>16.43</v>
      </c>
      <c r="F27" s="27">
        <v>41.75</v>
      </c>
    </row>
    <row r="28" spans="1:11" x14ac:dyDescent="0.2">
      <c r="A28" t="s">
        <v>233</v>
      </c>
      <c r="B28" s="23">
        <v>46.41</v>
      </c>
      <c r="C28" s="23">
        <v>53.59</v>
      </c>
      <c r="D28" s="23">
        <v>24.18</v>
      </c>
      <c r="E28" s="27">
        <v>15.42</v>
      </c>
      <c r="F28" s="27">
        <v>39.6</v>
      </c>
    </row>
    <row r="29" spans="1:11" x14ac:dyDescent="0.2">
      <c r="A29" t="s">
        <v>221</v>
      </c>
      <c r="B29" s="23">
        <v>46.92</v>
      </c>
      <c r="C29" s="23">
        <v>53.08</v>
      </c>
      <c r="D29" s="23">
        <v>25.56</v>
      </c>
      <c r="E29" s="27">
        <v>19.12</v>
      </c>
      <c r="F29" s="27">
        <v>44.68</v>
      </c>
    </row>
    <row r="30" spans="1:11" x14ac:dyDescent="0.2">
      <c r="A30" t="s">
        <v>289</v>
      </c>
      <c r="B30" s="23">
        <v>53.54</v>
      </c>
      <c r="C30" s="23">
        <v>46.46</v>
      </c>
      <c r="D30" s="23">
        <v>34.619999999999997</v>
      </c>
      <c r="E30" s="27">
        <v>23.21</v>
      </c>
      <c r="F30" s="27">
        <v>57.82</v>
      </c>
    </row>
  </sheetData>
  <mergeCells count="3">
    <mergeCell ref="A1:G1"/>
    <mergeCell ref="A17:F17"/>
    <mergeCell ref="A25:F2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951AB-C657-D24B-B811-B843FE446160}">
  <dimension ref="A1:K28"/>
  <sheetViews>
    <sheetView workbookViewId="0">
      <selection activeCell="E15" sqref="E15"/>
    </sheetView>
  </sheetViews>
  <sheetFormatPr baseColWidth="10" defaultRowHeight="16" x14ac:dyDescent="0.2"/>
  <cols>
    <col min="1" max="1" width="25.33203125" bestFit="1" customWidth="1"/>
    <col min="2" max="2" width="14.6640625" bestFit="1" customWidth="1"/>
    <col min="3" max="3" width="8.33203125" bestFit="1" customWidth="1"/>
    <col min="4" max="4" width="5.1640625" bestFit="1" customWidth="1"/>
    <col min="5" max="5" width="14.83203125" bestFit="1" customWidth="1"/>
    <col min="6" max="6" width="13.33203125" bestFit="1" customWidth="1"/>
    <col min="7" max="7" width="38.6640625" bestFit="1" customWidth="1"/>
    <col min="8" max="8" width="9.83203125" bestFit="1" customWidth="1"/>
    <col min="9" max="9" width="6.5" bestFit="1" customWidth="1"/>
    <col min="10" max="10" width="7.33203125" bestFit="1" customWidth="1"/>
    <col min="11" max="11" width="17.5" bestFit="1" customWidth="1"/>
  </cols>
  <sheetData>
    <row r="1" spans="1:11" x14ac:dyDescent="0.2">
      <c r="A1" s="76" t="s">
        <v>356</v>
      </c>
      <c r="B1" s="76"/>
      <c r="C1" s="76"/>
      <c r="D1" s="76"/>
      <c r="E1" s="76"/>
      <c r="F1" s="76"/>
      <c r="G1" s="76"/>
      <c r="H1" s="76"/>
      <c r="I1" s="76"/>
      <c r="J1" s="76"/>
      <c r="K1" s="76"/>
    </row>
    <row r="2" spans="1:11" ht="89" customHeight="1" x14ac:dyDescent="0.2">
      <c r="A2" s="75" t="s">
        <v>268</v>
      </c>
      <c r="B2" s="75"/>
      <c r="C2" s="75"/>
      <c r="D2" s="75"/>
      <c r="E2" s="75"/>
      <c r="F2" s="75"/>
      <c r="G2" s="75"/>
      <c r="H2" s="75"/>
      <c r="I2" s="75"/>
      <c r="J2" s="75"/>
      <c r="K2" s="75"/>
    </row>
    <row r="3" spans="1:11" ht="18" thickBot="1" x14ac:dyDescent="0.25">
      <c r="A3" s="19" t="s">
        <v>220</v>
      </c>
      <c r="B3" s="19" t="s">
        <v>218</v>
      </c>
      <c r="C3" s="19" t="s">
        <v>243</v>
      </c>
      <c r="D3" s="19" t="s">
        <v>1</v>
      </c>
      <c r="E3" s="19" t="s">
        <v>270</v>
      </c>
      <c r="F3" s="19" t="s">
        <v>266</v>
      </c>
      <c r="G3" s="19" t="s">
        <v>267</v>
      </c>
      <c r="H3" s="19" t="s">
        <v>219</v>
      </c>
      <c r="I3" s="19" t="s">
        <v>247</v>
      </c>
      <c r="J3" s="19" t="s">
        <v>248</v>
      </c>
      <c r="K3" s="19" t="s">
        <v>271</v>
      </c>
    </row>
    <row r="4" spans="1:11" x14ac:dyDescent="0.2">
      <c r="A4" s="33" t="s">
        <v>222</v>
      </c>
      <c r="B4" s="33" t="s">
        <v>29</v>
      </c>
      <c r="C4" s="34">
        <v>3.0059999999999998</v>
      </c>
      <c r="D4" s="35">
        <v>5</v>
      </c>
      <c r="E4" s="34">
        <v>0.69899999999999995</v>
      </c>
      <c r="F4" s="34">
        <v>0.82089999999999996</v>
      </c>
      <c r="G4" s="33" t="s">
        <v>269</v>
      </c>
      <c r="H4" s="37"/>
      <c r="I4" s="37"/>
      <c r="J4" s="37"/>
      <c r="K4" s="37"/>
    </row>
    <row r="5" spans="1:11" x14ac:dyDescent="0.2">
      <c r="A5" s="31"/>
      <c r="B5" s="31" t="s">
        <v>20</v>
      </c>
      <c r="C5" s="30">
        <v>7.4530000000000003</v>
      </c>
      <c r="D5" s="20">
        <v>5</v>
      </c>
      <c r="E5" s="30">
        <v>0.189</v>
      </c>
      <c r="F5" s="30">
        <v>0.249</v>
      </c>
      <c r="G5" s="31" t="s">
        <v>269</v>
      </c>
    </row>
    <row r="6" spans="1:11" x14ac:dyDescent="0.2">
      <c r="A6" s="31"/>
      <c r="B6" s="31" t="s">
        <v>174</v>
      </c>
      <c r="C6" s="30">
        <v>4.3440000000000003</v>
      </c>
      <c r="D6" s="20">
        <v>5</v>
      </c>
      <c r="E6" s="30">
        <v>0.501</v>
      </c>
      <c r="F6" s="30">
        <v>0.46700000000000003</v>
      </c>
      <c r="G6" s="31" t="s">
        <v>269</v>
      </c>
    </row>
    <row r="7" spans="1:11" x14ac:dyDescent="0.2">
      <c r="A7" s="31"/>
      <c r="B7" s="31" t="s">
        <v>30</v>
      </c>
      <c r="C7" s="30">
        <v>15.023</v>
      </c>
      <c r="D7" s="20">
        <v>5</v>
      </c>
      <c r="E7" s="51">
        <v>0.01</v>
      </c>
      <c r="F7" s="30">
        <v>0.70669999999999999</v>
      </c>
      <c r="G7" s="30" t="s">
        <v>251</v>
      </c>
      <c r="H7" s="30">
        <v>150.47</v>
      </c>
      <c r="I7" s="30">
        <v>44.8</v>
      </c>
      <c r="J7" s="30">
        <v>3.3610000000000002</v>
      </c>
      <c r="K7" s="51">
        <v>0.01</v>
      </c>
    </row>
    <row r="8" spans="1:11" x14ac:dyDescent="0.2">
      <c r="A8" s="31"/>
      <c r="B8" s="31" t="s">
        <v>175</v>
      </c>
      <c r="C8" s="30">
        <v>4.7234999999999996</v>
      </c>
      <c r="D8" s="20">
        <v>5</v>
      </c>
      <c r="E8" s="30">
        <v>0.45050000000000001</v>
      </c>
      <c r="F8" s="30">
        <v>0.76190000000000002</v>
      </c>
      <c r="G8" s="31" t="s">
        <v>269</v>
      </c>
      <c r="H8" s="30"/>
      <c r="I8" s="30"/>
      <c r="J8" s="30"/>
      <c r="K8" s="51"/>
    </row>
    <row r="9" spans="1:11" ht="17" thickBot="1" x14ac:dyDescent="0.25">
      <c r="A9" s="52"/>
      <c r="B9" s="52" t="s">
        <v>176</v>
      </c>
      <c r="C9" s="53">
        <v>9.3469999999999995</v>
      </c>
      <c r="D9" s="54">
        <v>5</v>
      </c>
      <c r="E9" s="53">
        <v>9.6000000000000002E-2</v>
      </c>
      <c r="F9" s="53">
        <v>0.8407</v>
      </c>
      <c r="G9" s="52" t="s">
        <v>269</v>
      </c>
      <c r="H9" s="55"/>
      <c r="I9" s="55"/>
      <c r="J9" s="55"/>
      <c r="K9" s="55"/>
    </row>
    <row r="10" spans="1:11" x14ac:dyDescent="0.2">
      <c r="A10" s="31" t="s">
        <v>273</v>
      </c>
      <c r="B10" s="31" t="s">
        <v>29</v>
      </c>
      <c r="C10" s="30">
        <v>4.3259999999999996</v>
      </c>
      <c r="D10" s="20">
        <v>5</v>
      </c>
      <c r="E10" s="30">
        <v>0.504</v>
      </c>
      <c r="F10" s="30">
        <v>0.129</v>
      </c>
      <c r="G10" s="31" t="s">
        <v>269</v>
      </c>
    </row>
    <row r="11" spans="1:11" x14ac:dyDescent="0.2">
      <c r="A11" s="31"/>
      <c r="B11" s="31" t="s">
        <v>20</v>
      </c>
      <c r="C11" s="30">
        <v>10.082000000000001</v>
      </c>
      <c r="D11" s="20">
        <v>5</v>
      </c>
      <c r="E11" s="30">
        <v>7.2999999999999995E-2</v>
      </c>
      <c r="F11" s="30">
        <v>0.107</v>
      </c>
      <c r="G11" s="31" t="s">
        <v>269</v>
      </c>
    </row>
    <row r="12" spans="1:11" x14ac:dyDescent="0.2">
      <c r="A12" s="31"/>
      <c r="B12" s="31" t="s">
        <v>174</v>
      </c>
      <c r="C12" s="30">
        <v>5.0049999999999999</v>
      </c>
      <c r="D12" s="20">
        <v>5</v>
      </c>
      <c r="E12" s="30">
        <v>0.41499999999999998</v>
      </c>
      <c r="F12" s="30">
        <v>0.13800000000000001</v>
      </c>
      <c r="G12" t="s">
        <v>269</v>
      </c>
    </row>
    <row r="13" spans="1:11" x14ac:dyDescent="0.2">
      <c r="B13" s="31" t="s">
        <v>30</v>
      </c>
      <c r="C13" s="30">
        <v>4.9640000000000004</v>
      </c>
      <c r="D13" s="20">
        <v>5</v>
      </c>
      <c r="E13" s="30">
        <v>0.42</v>
      </c>
      <c r="F13" s="30">
        <v>0.54900000000000004</v>
      </c>
      <c r="G13" s="31" t="s">
        <v>269</v>
      </c>
    </row>
    <row r="14" spans="1:11" x14ac:dyDescent="0.2">
      <c r="B14" s="31" t="s">
        <v>175</v>
      </c>
      <c r="C14" s="30">
        <v>6.1294000000000004</v>
      </c>
      <c r="D14" s="20">
        <v>5</v>
      </c>
      <c r="E14" s="30">
        <v>0.29380000000000001</v>
      </c>
      <c r="F14" s="30">
        <v>0.76319999999999999</v>
      </c>
      <c r="G14" s="31" t="s">
        <v>269</v>
      </c>
    </row>
    <row r="15" spans="1:11" ht="17" thickBot="1" x14ac:dyDescent="0.25">
      <c r="B15" s="31" t="s">
        <v>176</v>
      </c>
      <c r="C15" s="30">
        <v>10.757999999999999</v>
      </c>
      <c r="D15" s="20">
        <v>5</v>
      </c>
      <c r="E15" s="30">
        <v>5.6000000000000001E-2</v>
      </c>
      <c r="F15" s="30">
        <v>0.51300000000000001</v>
      </c>
      <c r="G15" s="31" t="s">
        <v>269</v>
      </c>
    </row>
    <row r="16" spans="1:11" x14ac:dyDescent="0.2">
      <c r="A16" s="33" t="s">
        <v>272</v>
      </c>
      <c r="B16" s="33" t="s">
        <v>29</v>
      </c>
      <c r="C16" s="34">
        <v>19.292999999999999</v>
      </c>
      <c r="D16" s="35">
        <v>5</v>
      </c>
      <c r="E16" s="36">
        <v>1.6949999999999999E-3</v>
      </c>
      <c r="F16" s="34">
        <v>0.252</v>
      </c>
      <c r="G16" s="34" t="s">
        <v>274</v>
      </c>
      <c r="H16" s="37">
        <v>-82.71</v>
      </c>
      <c r="I16" s="37">
        <v>23.9</v>
      </c>
      <c r="J16" s="37">
        <v>-3.464</v>
      </c>
      <c r="K16" s="48">
        <v>7.0000000000000001E-3</v>
      </c>
    </row>
    <row r="17" spans="1:11" x14ac:dyDescent="0.2">
      <c r="A17" s="31"/>
      <c r="B17" s="32"/>
      <c r="C17" s="38"/>
      <c r="D17" s="39"/>
      <c r="E17" s="40"/>
      <c r="F17" s="38"/>
      <c r="G17" s="32" t="s">
        <v>275</v>
      </c>
      <c r="H17" s="41">
        <v>-89.88</v>
      </c>
      <c r="I17" s="41">
        <v>23.9</v>
      </c>
      <c r="J17" s="41">
        <v>-3.7639999999999998</v>
      </c>
      <c r="K17" s="49">
        <v>2.3E-3</v>
      </c>
    </row>
    <row r="18" spans="1:11" x14ac:dyDescent="0.2">
      <c r="B18" s="42" t="s">
        <v>20</v>
      </c>
      <c r="C18" s="43">
        <v>20.513000000000002</v>
      </c>
      <c r="D18" s="44">
        <v>5</v>
      </c>
      <c r="E18" s="45">
        <v>1.0009999999999999E-3</v>
      </c>
      <c r="F18" s="43">
        <v>8.5999999999999993E-2</v>
      </c>
      <c r="G18" s="43" t="s">
        <v>274</v>
      </c>
      <c r="H18" s="46">
        <v>-199.8</v>
      </c>
      <c r="I18" s="46">
        <v>54.1</v>
      </c>
      <c r="J18" s="46">
        <v>-3.6949999999999998</v>
      </c>
      <c r="K18" s="56">
        <v>3.0000000000000001E-3</v>
      </c>
    </row>
    <row r="19" spans="1:11" x14ac:dyDescent="0.2">
      <c r="B19" s="32"/>
      <c r="C19" s="38"/>
      <c r="D19" s="39"/>
      <c r="E19" s="40"/>
      <c r="F19" s="38"/>
      <c r="G19" s="32" t="s">
        <v>275</v>
      </c>
      <c r="H19" s="41">
        <v>-209.9</v>
      </c>
      <c r="I19" s="41">
        <v>54.1</v>
      </c>
      <c r="J19" s="41">
        <v>-3.8820000000000001</v>
      </c>
      <c r="K19" s="49">
        <v>1.4E-3</v>
      </c>
    </row>
    <row r="20" spans="1:11" x14ac:dyDescent="0.2">
      <c r="B20" s="31" t="s">
        <v>174</v>
      </c>
      <c r="C20" s="30">
        <v>10.346</v>
      </c>
      <c r="D20" s="20">
        <v>5</v>
      </c>
      <c r="E20" s="30">
        <v>6.6000000000000003E-2</v>
      </c>
      <c r="F20" s="30">
        <v>0.72299999999999998</v>
      </c>
      <c r="G20" s="31" t="s">
        <v>269</v>
      </c>
      <c r="K20" s="50"/>
    </row>
    <row r="21" spans="1:11" x14ac:dyDescent="0.2">
      <c r="B21" s="42" t="s">
        <v>30</v>
      </c>
      <c r="C21" s="43">
        <v>28.120999999999999</v>
      </c>
      <c r="D21" s="44">
        <v>5</v>
      </c>
      <c r="E21" s="45" t="s">
        <v>279</v>
      </c>
      <c r="F21" s="43">
        <v>0.47899999999999998</v>
      </c>
      <c r="G21" s="43" t="s">
        <v>274</v>
      </c>
      <c r="H21" s="46">
        <v>156.03</v>
      </c>
      <c r="I21" s="46">
        <v>37.700000000000003</v>
      </c>
      <c r="J21" s="46">
        <v>4.1340000000000003</v>
      </c>
      <c r="K21" s="57">
        <v>5.0000000000000001E-4</v>
      </c>
    </row>
    <row r="22" spans="1:11" x14ac:dyDescent="0.2">
      <c r="B22" s="31"/>
      <c r="C22" s="30"/>
      <c r="D22" s="20"/>
      <c r="E22" s="47"/>
      <c r="F22" s="30"/>
      <c r="G22" s="30" t="s">
        <v>276</v>
      </c>
      <c r="H22">
        <v>171.45</v>
      </c>
      <c r="I22">
        <v>37.700000000000003</v>
      </c>
      <c r="J22">
        <v>4.5419999999999998</v>
      </c>
      <c r="K22" s="58" t="s">
        <v>278</v>
      </c>
    </row>
    <row r="23" spans="1:11" x14ac:dyDescent="0.2">
      <c r="B23" s="31"/>
      <c r="C23" s="30"/>
      <c r="D23" s="20"/>
      <c r="E23" s="47"/>
      <c r="F23" s="30"/>
      <c r="G23" s="31" t="s">
        <v>275</v>
      </c>
      <c r="H23">
        <v>152.15</v>
      </c>
      <c r="I23">
        <v>37.700000000000003</v>
      </c>
      <c r="J23">
        <v>4.0309999999999997</v>
      </c>
      <c r="K23" s="50">
        <v>8.0000000000000004E-4</v>
      </c>
    </row>
    <row r="24" spans="1:11" x14ac:dyDescent="0.2">
      <c r="B24" s="32"/>
      <c r="C24" s="38"/>
      <c r="D24" s="39"/>
      <c r="E24" s="59"/>
      <c r="F24" s="38"/>
      <c r="G24" s="32" t="s">
        <v>277</v>
      </c>
      <c r="H24" s="41">
        <v>148.32</v>
      </c>
      <c r="I24" s="41">
        <v>37.700000000000003</v>
      </c>
      <c r="J24" s="41">
        <v>3.9289999999999998</v>
      </c>
      <c r="K24" s="60">
        <v>1.1999999999999999E-3</v>
      </c>
    </row>
    <row r="25" spans="1:11" x14ac:dyDescent="0.2">
      <c r="B25" s="31" t="s">
        <v>175</v>
      </c>
      <c r="C25" s="30">
        <v>5.2053000000000003</v>
      </c>
      <c r="D25" s="20">
        <v>5</v>
      </c>
      <c r="E25" s="30">
        <v>0.39129999999999998</v>
      </c>
      <c r="F25" s="30">
        <v>0.76190000000000002</v>
      </c>
      <c r="G25" s="31" t="s">
        <v>269</v>
      </c>
      <c r="K25" s="50"/>
    </row>
    <row r="26" spans="1:11" ht="17" thickBot="1" x14ac:dyDescent="0.25">
      <c r="A26" s="55"/>
      <c r="B26" s="52" t="s">
        <v>176</v>
      </c>
      <c r="C26" s="53">
        <v>11.205</v>
      </c>
      <c r="D26" s="54">
        <v>5</v>
      </c>
      <c r="E26" s="61">
        <v>4.7460000000000002E-2</v>
      </c>
      <c r="F26" s="53">
        <v>0.90900000000000003</v>
      </c>
      <c r="G26" s="52" t="s">
        <v>269</v>
      </c>
      <c r="H26" s="55"/>
      <c r="I26" s="55"/>
      <c r="J26" s="55"/>
      <c r="K26" s="55"/>
    </row>
    <row r="27" spans="1:11" x14ac:dyDescent="0.2">
      <c r="D27" s="20"/>
      <c r="F27" s="30"/>
    </row>
    <row r="28" spans="1:11" x14ac:dyDescent="0.2">
      <c r="D28" s="20"/>
      <c r="F28" s="30"/>
    </row>
  </sheetData>
  <mergeCells count="2">
    <mergeCell ref="A1:K1"/>
    <mergeCell ref="A2:K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0F726-749A-6748-9EAE-3EE3965BD034}">
  <dimension ref="A1:I18"/>
  <sheetViews>
    <sheetView zoomScale="122" zoomScaleNormal="122" workbookViewId="0">
      <selection activeCell="E22" sqref="E22"/>
    </sheetView>
  </sheetViews>
  <sheetFormatPr baseColWidth="10" defaultRowHeight="16" x14ac:dyDescent="0.2"/>
  <cols>
    <col min="1" max="1" width="22.83203125" customWidth="1"/>
    <col min="2" max="7" width="18.6640625" customWidth="1"/>
    <col min="8" max="8" width="32.6640625" customWidth="1"/>
  </cols>
  <sheetData>
    <row r="1" spans="1:9" x14ac:dyDescent="0.2">
      <c r="A1" s="68" t="s">
        <v>355</v>
      </c>
      <c r="B1" s="68"/>
      <c r="C1" s="68"/>
      <c r="D1" s="68"/>
      <c r="E1" s="68"/>
      <c r="F1" s="68"/>
      <c r="G1" s="68"/>
      <c r="H1" s="68"/>
    </row>
    <row r="2" spans="1:9" ht="51" customHeight="1" x14ac:dyDescent="0.2">
      <c r="A2" s="69" t="s">
        <v>290</v>
      </c>
      <c r="B2" s="69"/>
      <c r="C2" s="69"/>
      <c r="D2" s="69"/>
      <c r="E2" s="69"/>
      <c r="F2" s="69"/>
      <c r="G2" s="69"/>
      <c r="H2" s="69"/>
    </row>
    <row r="3" spans="1:9" ht="35" thickBot="1" x14ac:dyDescent="0.25">
      <c r="A3" s="19" t="s">
        <v>4</v>
      </c>
      <c r="B3" s="19" t="s">
        <v>5</v>
      </c>
      <c r="C3" s="19" t="s">
        <v>6</v>
      </c>
      <c r="D3" s="19" t="s">
        <v>7</v>
      </c>
      <c r="E3" s="19" t="s">
        <v>8</v>
      </c>
      <c r="F3" s="19" t="s">
        <v>9</v>
      </c>
      <c r="G3" s="19" t="s">
        <v>217</v>
      </c>
      <c r="H3" s="19" t="s">
        <v>10</v>
      </c>
    </row>
    <row r="4" spans="1:9" x14ac:dyDescent="0.2">
      <c r="A4" s="70" t="s">
        <v>11</v>
      </c>
      <c r="B4" s="4" t="s">
        <v>12</v>
      </c>
      <c r="C4" s="4" t="s">
        <v>13</v>
      </c>
      <c r="D4" s="5" t="s">
        <v>15</v>
      </c>
      <c r="E4" s="6">
        <v>16</v>
      </c>
      <c r="F4" s="6">
        <v>34</v>
      </c>
      <c r="G4" s="7">
        <v>6.0000000000000001E-3</v>
      </c>
      <c r="H4" s="8">
        <v>8.8808319999999996E-2</v>
      </c>
      <c r="I4" s="62"/>
    </row>
    <row r="5" spans="1:9" x14ac:dyDescent="0.2">
      <c r="A5" s="71"/>
      <c r="B5" s="4" t="s">
        <v>12</v>
      </c>
      <c r="C5" s="4" t="s">
        <v>13</v>
      </c>
      <c r="D5" s="5" t="s">
        <v>16</v>
      </c>
      <c r="E5" s="6">
        <v>1.857143</v>
      </c>
      <c r="F5" s="6">
        <v>10.199999999999999</v>
      </c>
      <c r="G5" s="7">
        <v>1.7999999999999999E-2</v>
      </c>
      <c r="H5" s="8">
        <v>4.4820579999999999E-2</v>
      </c>
    </row>
    <row r="6" spans="1:9" x14ac:dyDescent="0.2">
      <c r="A6" s="71"/>
      <c r="B6" s="4" t="s">
        <v>12</v>
      </c>
      <c r="C6" s="4" t="s">
        <v>13</v>
      </c>
      <c r="D6" s="5" t="s">
        <v>14</v>
      </c>
      <c r="E6" s="6">
        <v>5</v>
      </c>
      <c r="F6" s="6">
        <v>0.2</v>
      </c>
      <c r="G6" s="7">
        <v>8.9999999999999993E-3</v>
      </c>
      <c r="H6" s="8">
        <v>2.262923E-2</v>
      </c>
    </row>
    <row r="7" spans="1:9" x14ac:dyDescent="0.2">
      <c r="A7" s="71"/>
      <c r="B7" s="4" t="s">
        <v>12</v>
      </c>
      <c r="C7" s="4" t="s">
        <v>17</v>
      </c>
      <c r="D7" s="5" t="s">
        <v>18</v>
      </c>
      <c r="E7" s="6">
        <v>26.428571000000002</v>
      </c>
      <c r="F7" s="6">
        <v>8.5</v>
      </c>
      <c r="G7" s="7">
        <v>2.4E-2</v>
      </c>
      <c r="H7" s="8">
        <v>0.12058876</v>
      </c>
    </row>
    <row r="8" spans="1:9" x14ac:dyDescent="0.2">
      <c r="A8" s="71"/>
      <c r="B8" s="4" t="s">
        <v>12</v>
      </c>
      <c r="C8" s="4" t="s">
        <v>17</v>
      </c>
      <c r="D8" s="5" t="s">
        <v>14</v>
      </c>
      <c r="E8" s="6">
        <v>5</v>
      </c>
      <c r="F8" s="6">
        <v>0.3333333</v>
      </c>
      <c r="G8" s="7">
        <v>1E-3</v>
      </c>
      <c r="H8" s="8">
        <v>2.524564E-2</v>
      </c>
    </row>
    <row r="9" spans="1:9" x14ac:dyDescent="0.2">
      <c r="A9" s="71"/>
      <c r="B9" s="4" t="s">
        <v>17</v>
      </c>
      <c r="C9" s="4" t="s">
        <v>13</v>
      </c>
      <c r="D9" s="5" t="s">
        <v>16</v>
      </c>
      <c r="E9" s="6">
        <v>4.5</v>
      </c>
      <c r="F9" s="6">
        <v>10.199999999999999</v>
      </c>
      <c r="G9" s="7">
        <v>2.7E-2</v>
      </c>
      <c r="H9" s="8">
        <v>5.3768539999999997E-2</v>
      </c>
    </row>
    <row r="10" spans="1:9" ht="16" customHeight="1" x14ac:dyDescent="0.2">
      <c r="A10" s="72"/>
      <c r="B10" s="4" t="s">
        <v>17</v>
      </c>
      <c r="C10" s="4" t="s">
        <v>13</v>
      </c>
      <c r="D10" s="5" t="s">
        <v>60</v>
      </c>
      <c r="E10" s="6">
        <v>4.5</v>
      </c>
      <c r="F10" s="6">
        <v>1.2</v>
      </c>
      <c r="G10" s="7">
        <v>1.2E-2</v>
      </c>
      <c r="H10" s="8">
        <v>2.1489029999999999E-2</v>
      </c>
    </row>
    <row r="11" spans="1:9" ht="16" customHeight="1" x14ac:dyDescent="0.2">
      <c r="A11" s="73" t="s">
        <v>19</v>
      </c>
      <c r="B11" s="9" t="s">
        <v>12</v>
      </c>
      <c r="C11" s="9" t="s">
        <v>13</v>
      </c>
      <c r="D11" s="121" t="s">
        <v>20</v>
      </c>
      <c r="E11" s="10">
        <v>244.52524</v>
      </c>
      <c r="F11" s="10">
        <v>275.44749999999999</v>
      </c>
      <c r="G11" s="11">
        <v>3.2000000000000001E-2</v>
      </c>
      <c r="H11" s="12">
        <v>0.16383249999999999</v>
      </c>
    </row>
    <row r="12" spans="1:9" x14ac:dyDescent="0.2">
      <c r="A12" s="74"/>
      <c r="B12" s="9" t="s">
        <v>12</v>
      </c>
      <c r="C12" s="9" t="s">
        <v>13</v>
      </c>
      <c r="D12" s="121" t="s">
        <v>21</v>
      </c>
      <c r="E12" s="10">
        <v>61.502630000000003</v>
      </c>
      <c r="F12" s="10">
        <v>72.715289999999996</v>
      </c>
      <c r="G12" s="11">
        <v>2.7E-2</v>
      </c>
      <c r="H12" s="12">
        <v>6.4968999999999999E-2</v>
      </c>
    </row>
    <row r="13" spans="1:9" x14ac:dyDescent="0.2">
      <c r="A13" s="74"/>
      <c r="B13" s="9" t="s">
        <v>12</v>
      </c>
      <c r="C13" s="9" t="s">
        <v>13</v>
      </c>
      <c r="D13" s="121" t="s">
        <v>22</v>
      </c>
      <c r="E13" s="10">
        <v>23.850110000000001</v>
      </c>
      <c r="F13" s="10">
        <v>32.350650000000002</v>
      </c>
      <c r="G13" s="11">
        <v>3.3000000000000002E-2</v>
      </c>
      <c r="H13" s="12">
        <v>4.249489E-2</v>
      </c>
    </row>
    <row r="14" spans="1:9" x14ac:dyDescent="0.2">
      <c r="A14" s="74"/>
      <c r="B14" s="9" t="s">
        <v>12</v>
      </c>
      <c r="C14" s="9" t="s">
        <v>13</v>
      </c>
      <c r="D14" s="121" t="s">
        <v>23</v>
      </c>
      <c r="E14" s="10">
        <v>37.27657</v>
      </c>
      <c r="F14" s="10">
        <v>48.20346</v>
      </c>
      <c r="G14" s="11">
        <v>3.6999999999999998E-2</v>
      </c>
      <c r="H14" s="12">
        <v>4.2205430000000002E-2</v>
      </c>
    </row>
    <row r="15" spans="1:9" x14ac:dyDescent="0.2">
      <c r="A15" s="74"/>
      <c r="B15" s="9" t="s">
        <v>12</v>
      </c>
      <c r="C15" s="9" t="s">
        <v>13</v>
      </c>
      <c r="D15" s="121" t="s">
        <v>177</v>
      </c>
      <c r="E15" s="10">
        <v>11.430400000000001</v>
      </c>
      <c r="F15" s="10">
        <v>18.325569999999999</v>
      </c>
      <c r="G15" s="11">
        <v>2.5999999999999999E-2</v>
      </c>
      <c r="H15" s="12">
        <v>2.7777779999999998E-2</v>
      </c>
    </row>
    <row r="16" spans="1:9" x14ac:dyDescent="0.2">
      <c r="A16" s="74"/>
      <c r="B16" s="9" t="s">
        <v>17</v>
      </c>
      <c r="C16" s="9" t="s">
        <v>13</v>
      </c>
      <c r="D16" s="121" t="s">
        <v>21</v>
      </c>
      <c r="E16" s="10">
        <v>63.23771</v>
      </c>
      <c r="F16" s="10">
        <v>72.715289999999996</v>
      </c>
      <c r="G16" s="11">
        <v>3.1E-2</v>
      </c>
      <c r="H16" s="12">
        <v>6.4334059999999998E-2</v>
      </c>
    </row>
    <row r="17" spans="1:8" x14ac:dyDescent="0.2">
      <c r="A17" s="74"/>
      <c r="B17" s="9" t="s">
        <v>17</v>
      </c>
      <c r="C17" s="9" t="s">
        <v>13</v>
      </c>
      <c r="D17" s="121" t="s">
        <v>177</v>
      </c>
      <c r="E17" s="10">
        <v>12.68613</v>
      </c>
      <c r="F17" s="10">
        <v>18.325569999999999</v>
      </c>
      <c r="G17" s="11">
        <v>3.4000000000000002E-2</v>
      </c>
      <c r="H17" s="12">
        <v>2.7226469999999999E-2</v>
      </c>
    </row>
    <row r="18" spans="1:8" x14ac:dyDescent="0.2">
      <c r="A18" s="3"/>
      <c r="B18" s="3"/>
      <c r="C18" s="3"/>
      <c r="D18" s="3"/>
      <c r="E18" s="3"/>
      <c r="F18" s="3"/>
      <c r="G18" s="3"/>
      <c r="H18" s="3"/>
    </row>
  </sheetData>
  <mergeCells count="4">
    <mergeCell ref="A1:H1"/>
    <mergeCell ref="A2:H2"/>
    <mergeCell ref="A4:A10"/>
    <mergeCell ref="A11:A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readme</vt:lpstr>
      <vt:lpstr>Table_S1_coralData</vt:lpstr>
      <vt:lpstr>Table_S2_Macrofauna_by_ARMS</vt:lpstr>
      <vt:lpstr>Table_S3_GLMM_Table</vt:lpstr>
      <vt:lpstr>Table_S4_OTU_Table</vt:lpstr>
      <vt:lpstr>Table_S5_Phylum_by_ARSM</vt:lpstr>
      <vt:lpstr>Table_S6_PhlyRichnessCorals</vt:lpstr>
      <vt:lpstr>Table_S7_multidimensionalAnalys</vt:lpstr>
      <vt:lpstr>Table_S8_LM_Table</vt:lpstr>
      <vt:lpstr>Table_S9_SIMPER</vt:lpstr>
      <vt:lpstr>Table_S1_coralData!Print_Titles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zhongyue@connect.hku.hk</dc:creator>
  <cp:lastModifiedBy>zhongyue@connect.hku.hk</cp:lastModifiedBy>
  <dcterms:created xsi:type="dcterms:W3CDTF">2025-09-27T04:20:40Z</dcterms:created>
  <dcterms:modified xsi:type="dcterms:W3CDTF">2026-07-07T07:21:35Z</dcterms:modified>
</cp:coreProperties>
</file>